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_Base" sheetId="2" state="visible" r:id="rId4"/>
    <sheet name="Scenarios" sheetId="3" state="visible" r:id="rId5"/>
    <sheet name="Sources_Confid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<sst xmlns="http://schemas.openxmlformats.org/spreadsheetml/2006/main" count="103" uniqueCount="97">
  <si>
    <t xml:space="preserve">Devorix — Financial Model (Assumptions)</t>
  </si>
  <si>
    <t xml:space="preserve">Blue = input you can change. Black = formula. All figures flagged; see Sources sheet.</t>
  </si>
  <si>
    <t xml:space="preserve">Parameter</t>
  </si>
  <si>
    <t xml:space="preserve">Value</t>
  </si>
  <si>
    <t xml:space="preserve">Unit / Note</t>
  </si>
  <si>
    <t xml:space="preserve">USD → INR</t>
  </si>
  <si>
    <t xml:space="preserve">assumption; verify spot rate</t>
  </si>
  <si>
    <t xml:space="preserve">Impressions per active dev / day</t>
  </si>
  <si>
    <t xml:space="preserve">~20 prompts/hr x 4 hrs of AI coding (assumption)</t>
  </si>
  <si>
    <t xml:space="preserve">Active days / month</t>
  </si>
  <si>
    <t xml:space="preserve">working days (assumption)</t>
  </si>
  <si>
    <t xml:space="preserve">Gross eCPM (realized)</t>
  </si>
  <si>
    <t xml:space="preserve">USD. India est. Observed real: $0.27-$10.9; US blog est. $8-42 (see Sources)</t>
  </si>
  <si>
    <t xml:space="preserve">Dev revenue share</t>
  </si>
  <si>
    <t xml:space="preserve">match Kickbacks 50%; lever to 0.6-0.7 to beat rivals</t>
  </si>
  <si>
    <t xml:space="preserve">RazorpayX UPI payout cost</t>
  </si>
  <si>
    <t xml:space="preserve">INR per payout txn (Razorpay ~Rs2-5)</t>
  </si>
  <si>
    <t xml:space="preserve">Payout threshold</t>
  </si>
  <si>
    <t xml:space="preserve">INR; accrue then batch (keeps fee &lt;1%)</t>
  </si>
  <si>
    <t xml:space="preserve">Infra cost / month</t>
  </si>
  <si>
    <t xml:space="preserve">INR; AWS/GCP Mumbai early (assumption)</t>
  </si>
  <si>
    <t xml:space="preserve">Team cost / month</t>
  </si>
  <si>
    <t xml:space="preserve">INR; lean founders + ~1 eng (assumption)</t>
  </si>
  <si>
    <t xml:space="preserve">Other opex / month</t>
  </si>
  <si>
    <t xml:space="preserve">INR; CA, legal, tools (assumption)</t>
  </si>
  <si>
    <t xml:space="preserve">Year-1 Monthly Projection (Base case)</t>
  </si>
  <si>
    <t xml:space="preserve">Active devs and fill-rate are blue inputs (a ramp). Fill-rate = % of impressions sold to real advertisers.</t>
  </si>
  <si>
    <t xml:space="preserve">Month</t>
  </si>
  <si>
    <t xml:space="preserve">Active devs (EOM)</t>
  </si>
  <si>
    <t xml:space="preserve">Fill rate</t>
  </si>
  <si>
    <t xml:space="preserve">Impressions/mo</t>
  </si>
  <si>
    <t xml:space="preserve">Filled impressions</t>
  </si>
  <si>
    <t xml:space="preserve">Gross revenue (Rs)</t>
  </si>
  <si>
    <t xml:space="preserve">Dev payout (Rs)</t>
  </si>
  <si>
    <t xml:space="preserve">Platform margin (Rs)</t>
  </si>
  <si>
    <t xml:space="preserve">Payout txn cost (Rs)</t>
  </si>
  <si>
    <t xml:space="preserve">Opex (Rs)</t>
  </si>
  <si>
    <t xml:space="preserve">Net profit (Rs)</t>
  </si>
  <si>
    <t xml:space="preserve">Cumulative net (Rs)</t>
  </si>
  <si>
    <t xml:space="preserve">Steady-state sensitivity (at a given active-dev base, full fill)</t>
  </si>
  <si>
    <t xml:space="preserve">Monthly platform NET margin (Rs lakh) BEFORE opex, = gross x (1 - dev share). Vary eCPM x devs.</t>
  </si>
  <si>
    <t xml:space="preserve">Active devs \ eCPM (USD)</t>
  </si>
  <si>
    <t xml:space="preserve">Conservative $0.8</t>
  </si>
  <si>
    <t xml:space="preserve">Base $2.0</t>
  </si>
  <si>
    <t xml:space="preserve">Optimistic $5.0</t>
  </si>
  <si>
    <t xml:space="preserve">Per-dev economics / month (Rs)</t>
  </si>
  <si>
    <t xml:space="preserve">eCPM (USD)</t>
  </si>
  <si>
    <t xml:space="preserve">Gross/dev</t>
  </si>
  <si>
    <t xml:space="preserve">Dev keeps</t>
  </si>
  <si>
    <t xml:space="preserve">Platform keeps</t>
  </si>
  <si>
    <t xml:space="preserve">Sources &amp; Confidence (fact-check log)</t>
  </si>
  <si>
    <t xml:space="preserve">Figure</t>
  </si>
  <si>
    <t xml:space="preserve">Value used</t>
  </si>
  <si>
    <t xml:space="preserve">Source</t>
  </si>
  <si>
    <t xml:space="preserve">Confidence</t>
  </si>
  <si>
    <t xml:space="preserve">India GitHub developers 2026</t>
  </si>
  <si>
    <t xml:space="preserve">27 million</t>
  </si>
  <si>
    <t xml:space="preserve">GitHub via VARINDIA / InvestmentGuru, 2026</t>
  </si>
  <si>
    <t xml:space="preserve">High (multi-source)</t>
  </si>
  <si>
    <t xml:space="preserve">India devs projected 2030</t>
  </si>
  <si>
    <t xml:space="preserve">57.5 million</t>
  </si>
  <si>
    <t xml:space="preserve">GitHub projection via press, 2026</t>
  </si>
  <si>
    <t xml:space="preserve">Medium (projection)</t>
  </si>
  <si>
    <t xml:space="preserve">Kickbacks dev rev share</t>
  </si>
  <si>
    <t xml:space="preserve">50%</t>
  </si>
  <si>
    <t xml:space="preserve">kickbacks.ai / GitHub repo</t>
  </si>
  <si>
    <t xml:space="preserve">High</t>
  </si>
  <si>
    <t xml:space="preserve">IdleAds rev share</t>
  </si>
  <si>
    <t xml:space="preserve">70%</t>
  </si>
  <si>
    <t xml:space="preserve">idleads.dev; HN</t>
  </si>
  <si>
    <t xml:space="preserve">Idlen rev share / CPM</t>
  </si>
  <si>
    <t xml:space="preserve">70% / $20-42</t>
  </si>
  <si>
    <t xml:space="preserve">idlen.io; dev.to AIWaitIndex</t>
  </si>
  <si>
    <t xml:space="preserve">Low (blog estimate)</t>
  </si>
  <si>
    <t xml:space="preserve">Observed real eCPM (HN tester)</t>
  </si>
  <si>
    <t xml:space="preserve">~$10.9 ($4.43/407 impr)</t>
  </si>
  <si>
    <t xml:space="preserve">Hacker News tester report</t>
  </si>
  <si>
    <t xml:space="preserve">Low (single self-report)</t>
  </si>
  <si>
    <t xml:space="preserve">Observed real eCPM (PH bad day)</t>
  </si>
  <si>
    <t xml:space="preserve">~$0.27</t>
  </si>
  <si>
    <t xml:space="preserve">Product Hunt reviewer</t>
  </si>
  <si>
    <t xml:space="preserve">Blog CPM range</t>
  </si>
  <si>
    <t xml:space="preserve">$8-42</t>
  </si>
  <si>
    <t xml:space="preserve">dev.to AIWaitIndex (one blogger)</t>
  </si>
  <si>
    <t xml:space="preserve">Low (unverified estimate)</t>
  </si>
  <si>
    <t xml:space="preserve">eCPM used in model (India)</t>
  </si>
  <si>
    <t xml:space="preserve">$2.0 base</t>
  </si>
  <si>
    <t xml:space="preserve">Our conservative assumption</t>
  </si>
  <si>
    <t xml:space="preserve">Assumption</t>
  </si>
  <si>
    <t xml:space="preserve">Rs 2-5</t>
  </si>
  <si>
    <t xml:space="preserve">Razorpay docs / productgrowth.in</t>
  </si>
  <si>
    <t xml:space="preserve">USD-INR</t>
  </si>
  <si>
    <t xml:space="preserve">86</t>
  </si>
  <si>
    <t xml:space="preserve">Assumption; verify spot</t>
  </si>
  <si>
    <t xml:space="preserve">Impr/dev/day, active days, opex</t>
  </si>
  <si>
    <t xml:space="preserve">80 / 22 / lean</t>
  </si>
  <si>
    <t xml:space="preserve">Our assumptions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</si>
</sst>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86</f>
        <v>86</v>
      </c>
      <c r="C5" s="2" t="s">
        <v>6</v>
      </c>
    </row>
    <row r="6" customFormat="false" ht="15" hidden="false" customHeight="false" outlineLevel="0" collapsed="false">
      <c r="A6" s="4" t="s">
        <v>7</v>
      </c>
      <c r="B6" s="5" t="n">
        <f aca="false">80</f>
        <v>80</v>
      </c>
      <c r="C6" s="2" t="s">
        <v>8</v>
      </c>
    </row>
    <row r="7" customFormat="false" ht="15" hidden="false" customHeight="false" outlineLevel="0" collapsed="false">
      <c r="A7" s="4" t="s">
        <v>9</v>
      </c>
      <c r="B7" s="5" t="n">
        <f aca="false">22</f>
        <v>22</v>
      </c>
      <c r="C7" s="2" t="s">
        <v>10</v>
      </c>
    </row>
    <row r="8" customFormat="false" ht="15" hidden="false" customHeight="false" outlineLevel="0" collapsed="false">
      <c r="A8" s="4" t="s">
        <v>11</v>
      </c>
      <c r="B8" s="5" t="n">
        <f aca="false">2</f>
        <v>2</v>
      </c>
      <c r="C8" s="2" t="s">
        <v>12</v>
      </c>
    </row>
    <row r="9" customFormat="false" ht="15" hidden="false" customHeight="false" outlineLevel="0" collapsed="false">
      <c r="A9" s="4" t="s">
        <v>13</v>
      </c>
      <c r="B9" s="5" t="n">
        <f aca="false">0.5</f>
        <v>0.5</v>
      </c>
      <c r="C9" s="2" t="s">
        <v>14</v>
      </c>
    </row>
    <row r="10" customFormat="false" ht="15" hidden="false" customHeight="false" outlineLevel="0" collapsed="false">
      <c r="A10" s="4" t="s">
        <v>15</v>
      </c>
      <c r="B10" s="5" t="n">
        <f aca="false">3</f>
        <v>3</v>
      </c>
      <c r="C10" s="2" t="s">
        <v>16</v>
      </c>
    </row>
    <row r="11" customFormat="false" ht="15" hidden="false" customHeight="false" outlineLevel="0" collapsed="false">
      <c r="A11" s="4" t="s">
        <v>17</v>
      </c>
      <c r="B11" s="5" t="n">
        <f aca="false">500</f>
        <v>500</v>
      </c>
      <c r="C11" s="2" t="s">
        <v>18</v>
      </c>
    </row>
    <row r="12" customFormat="false" ht="15" hidden="false" customHeight="false" outlineLevel="0" collapsed="false">
      <c r="A12" s="4" t="s">
        <v>19</v>
      </c>
      <c r="B12" s="5" t="n">
        <f aca="false">25000</f>
        <v>25000</v>
      </c>
      <c r="C12" s="2" t="s">
        <v>20</v>
      </c>
    </row>
    <row r="13" customFormat="false" ht="15" hidden="false" customHeight="false" outlineLevel="0" collapsed="false">
      <c r="A13" s="4" t="s">
        <v>21</v>
      </c>
      <c r="B13" s="5" t="n">
        <f aca="false">200000</f>
        <v>200000</v>
      </c>
      <c r="C13" s="2" t="s">
        <v>22</v>
      </c>
    </row>
    <row r="14" customFormat="false" ht="15" hidden="false" customHeight="false" outlineLevel="0" collapsed="false">
      <c r="A14" s="4" t="s">
        <v>23</v>
      </c>
      <c r="B14" s="5" t="n">
        <f aca="false">40000</f>
        <v>40000</v>
      </c>
      <c r="C14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2"/>
  </cols>
  <sheetData>
    <row r="1" customFormat="false" ht="16.15" hidden="false" customHeight="false" outlineLevel="0" collapsed="false">
      <c r="A1" s="6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3" t="s">
        <v>27</v>
      </c>
      <c r="B4" s="7" t="n">
        <v>1</v>
      </c>
      <c r="C4" s="7" t="n">
        <v>2</v>
      </c>
      <c r="D4" s="7" t="n">
        <v>3</v>
      </c>
      <c r="E4" s="7" t="n">
        <v>4</v>
      </c>
      <c r="F4" s="7" t="n">
        <v>5</v>
      </c>
      <c r="G4" s="7" t="n">
        <v>6</v>
      </c>
      <c r="H4" s="7" t="n">
        <v>7</v>
      </c>
      <c r="I4" s="7" t="n">
        <v>8</v>
      </c>
      <c r="J4" s="7" t="n">
        <v>9</v>
      </c>
      <c r="K4" s="7" t="n">
        <v>10</v>
      </c>
      <c r="L4" s="7" t="n">
        <v>11</v>
      </c>
      <c r="M4" s="7" t="n">
        <v>12</v>
      </c>
    </row>
    <row r="5" customFormat="false" ht="15" hidden="false" customHeight="false" outlineLevel="0" collapsed="false">
      <c r="A5" s="7" t="s">
        <v>28</v>
      </c>
      <c r="B5" s="5" t="n">
        <v>500</v>
      </c>
      <c r="C5" s="5" t="n">
        <v>1500</v>
      </c>
      <c r="D5" s="5" t="n">
        <v>4000</v>
      </c>
      <c r="E5" s="5" t="n">
        <v>8000</v>
      </c>
      <c r="F5" s="5" t="n">
        <v>13000</v>
      </c>
      <c r="G5" s="5" t="n">
        <v>20000</v>
      </c>
      <c r="H5" s="5" t="n">
        <v>28000</v>
      </c>
      <c r="I5" s="5" t="n">
        <v>38000</v>
      </c>
      <c r="J5" s="5" t="n">
        <v>50000</v>
      </c>
      <c r="K5" s="5" t="n">
        <v>65000</v>
      </c>
      <c r="L5" s="5" t="n">
        <v>82000</v>
      </c>
      <c r="M5" s="5" t="n">
        <v>100000</v>
      </c>
    </row>
    <row r="6" customFormat="false" ht="15" hidden="false" customHeight="false" outlineLevel="0" collapsed="false">
      <c r="A6" s="7" t="s">
        <v>29</v>
      </c>
      <c r="B6" s="8" t="n">
        <v>0.02</v>
      </c>
      <c r="C6" s="8" t="n">
        <v>0.05</v>
      </c>
      <c r="D6" s="8" t="n">
        <v>0.1</v>
      </c>
      <c r="E6" s="8" t="n">
        <v>0.15</v>
      </c>
      <c r="F6" s="8" t="n">
        <v>0.2</v>
      </c>
      <c r="G6" s="8" t="n">
        <v>0.25</v>
      </c>
      <c r="H6" s="8" t="n">
        <v>0.3</v>
      </c>
      <c r="I6" s="8" t="n">
        <v>0.35</v>
      </c>
      <c r="J6" s="8" t="n">
        <v>0.4</v>
      </c>
      <c r="K6" s="8" t="n">
        <v>0.45</v>
      </c>
      <c r="L6" s="8" t="n">
        <v>0.5</v>
      </c>
      <c r="M6" s="8" t="n">
        <v>0.55</v>
      </c>
    </row>
    <row r="7" customFormat="false" ht="15" hidden="false" customHeight="false" outlineLevel="0" collapsed="false">
      <c r="A7" s="7" t="s">
        <v>30</v>
      </c>
      <c r="B7" s="9" t="n">
        <f aca="false">B5*Assumptions!$B$6*Assumptions!$B$7</f>
        <v>880000</v>
      </c>
      <c r="C7" s="9" t="n">
        <f aca="false">C5*Assumptions!$B$6*Assumptions!$B$7</f>
        <v>2640000</v>
      </c>
      <c r="D7" s="9" t="n">
        <f aca="false">D5*Assumptions!$B$6*Assumptions!$B$7</f>
        <v>7040000</v>
      </c>
      <c r="E7" s="9" t="n">
        <f aca="false">E5*Assumptions!$B$6*Assumptions!$B$7</f>
        <v>14080000</v>
      </c>
      <c r="F7" s="9" t="n">
        <f aca="false">F5*Assumptions!$B$6*Assumptions!$B$7</f>
        <v>22880000</v>
      </c>
      <c r="G7" s="9" t="n">
        <f aca="false">G5*Assumptions!$B$6*Assumptions!$B$7</f>
        <v>35200000</v>
      </c>
      <c r="H7" s="9" t="n">
        <f aca="false">H5*Assumptions!$B$6*Assumptions!$B$7</f>
        <v>49280000</v>
      </c>
      <c r="I7" s="9" t="n">
        <f aca="false">I5*Assumptions!$B$6*Assumptions!$B$7</f>
        <v>66880000</v>
      </c>
      <c r="J7" s="9" t="n">
        <f aca="false">J5*Assumptions!$B$6*Assumptions!$B$7</f>
        <v>88000000</v>
      </c>
      <c r="K7" s="9" t="n">
        <f aca="false">K5*Assumptions!$B$6*Assumptions!$B$7</f>
        <v>114400000</v>
      </c>
      <c r="L7" s="9" t="n">
        <f aca="false">L5*Assumptions!$B$6*Assumptions!$B$7</f>
        <v>144320000</v>
      </c>
      <c r="M7" s="9" t="n">
        <f aca="false">M5*Assumptions!$B$6*Assumptions!$B$7</f>
        <v>176000000</v>
      </c>
    </row>
    <row r="8" customFormat="false" ht="15" hidden="false" customHeight="false" outlineLevel="0" collapsed="false">
      <c r="A8" s="7" t="s">
        <v>31</v>
      </c>
      <c r="B8" s="9" t="n">
        <f aca="false">B7*B6</f>
        <v>17600</v>
      </c>
      <c r="C8" s="9" t="n">
        <f aca="false">C7*C6</f>
        <v>132000</v>
      </c>
      <c r="D8" s="9" t="n">
        <f aca="false">D7*D6</f>
        <v>704000</v>
      </c>
      <c r="E8" s="9" t="n">
        <f aca="false">E7*E6</f>
        <v>2112000</v>
      </c>
      <c r="F8" s="9" t="n">
        <f aca="false">F7*F6</f>
        <v>4576000</v>
      </c>
      <c r="G8" s="9" t="n">
        <f aca="false">G7*G6</f>
        <v>8800000</v>
      </c>
      <c r="H8" s="9" t="n">
        <f aca="false">H7*H6</f>
        <v>14784000</v>
      </c>
      <c r="I8" s="9" t="n">
        <f aca="false">I7*I6</f>
        <v>23408000</v>
      </c>
      <c r="J8" s="9" t="n">
        <f aca="false">J7*J6</f>
        <v>35200000</v>
      </c>
      <c r="K8" s="9" t="n">
        <f aca="false">K7*K6</f>
        <v>51480000</v>
      </c>
      <c r="L8" s="9" t="n">
        <f aca="false">L7*L6</f>
        <v>72160000</v>
      </c>
      <c r="M8" s="9" t="n">
        <f aca="false">M7*M6</f>
        <v>96800000</v>
      </c>
    </row>
    <row r="9" customFormat="false" ht="15" hidden="false" customHeight="false" outlineLevel="0" collapsed="false">
      <c r="A9" s="7" t="s">
        <v>32</v>
      </c>
      <c r="B9" s="9" t="n">
        <f aca="false">B8/1000*Assumptions!$B$8*Assumptions!$B$5</f>
        <v>3027.2</v>
      </c>
      <c r="C9" s="9" t="n">
        <f aca="false">C8/1000*Assumptions!$B$8*Assumptions!$B$5</f>
        <v>22704</v>
      </c>
      <c r="D9" s="9" t="n">
        <f aca="false">D8/1000*Assumptions!$B$8*Assumptions!$B$5</f>
        <v>121088</v>
      </c>
      <c r="E9" s="9" t="n">
        <f aca="false">E8/1000*Assumptions!$B$8*Assumptions!$B$5</f>
        <v>363264</v>
      </c>
      <c r="F9" s="9" t="n">
        <f aca="false">F8/1000*Assumptions!$B$8*Assumptions!$B$5</f>
        <v>787072</v>
      </c>
      <c r="G9" s="9" t="n">
        <f aca="false">G8/1000*Assumptions!$B$8*Assumptions!$B$5</f>
        <v>1513600</v>
      </c>
      <c r="H9" s="9" t="n">
        <f aca="false">H8/1000*Assumptions!$B$8*Assumptions!$B$5</f>
        <v>2542848</v>
      </c>
      <c r="I9" s="9" t="n">
        <f aca="false">I8/1000*Assumptions!$B$8*Assumptions!$B$5</f>
        <v>4026176</v>
      </c>
      <c r="J9" s="9" t="n">
        <f aca="false">J8/1000*Assumptions!$B$8*Assumptions!$B$5</f>
        <v>6054400</v>
      </c>
      <c r="K9" s="9" t="n">
        <f aca="false">K8/1000*Assumptions!$B$8*Assumptions!$B$5</f>
        <v>8854560</v>
      </c>
      <c r="L9" s="9" t="n">
        <f aca="false">L8/1000*Assumptions!$B$8*Assumptions!$B$5</f>
        <v>12411520</v>
      </c>
      <c r="M9" s="9" t="n">
        <f aca="false">M8/1000*Assumptions!$B$8*Assumptions!$B$5</f>
        <v>16649600</v>
      </c>
    </row>
    <row r="10" customFormat="false" ht="15" hidden="false" customHeight="false" outlineLevel="0" collapsed="false">
      <c r="A10" s="7" t="s">
        <v>33</v>
      </c>
      <c r="B10" s="9" t="n">
        <f aca="false">B9*Assumptions!$B$9</f>
        <v>1513.6</v>
      </c>
      <c r="C10" s="9" t="n">
        <f aca="false">C9*Assumptions!$B$9</f>
        <v>11352</v>
      </c>
      <c r="D10" s="9" t="n">
        <f aca="false">D9*Assumptions!$B$9</f>
        <v>60544</v>
      </c>
      <c r="E10" s="9" t="n">
        <f aca="false">E9*Assumptions!$B$9</f>
        <v>181632</v>
      </c>
      <c r="F10" s="9" t="n">
        <f aca="false">F9*Assumptions!$B$9</f>
        <v>393536</v>
      </c>
      <c r="G10" s="9" t="n">
        <f aca="false">G9*Assumptions!$B$9</f>
        <v>756800</v>
      </c>
      <c r="H10" s="9" t="n">
        <f aca="false">H9*Assumptions!$B$9</f>
        <v>1271424</v>
      </c>
      <c r="I10" s="9" t="n">
        <f aca="false">I9*Assumptions!$B$9</f>
        <v>2013088</v>
      </c>
      <c r="J10" s="9" t="n">
        <f aca="false">J9*Assumptions!$B$9</f>
        <v>3027200</v>
      </c>
      <c r="K10" s="9" t="n">
        <f aca="false">K9*Assumptions!$B$9</f>
        <v>4427280</v>
      </c>
      <c r="L10" s="9" t="n">
        <f aca="false">L9*Assumptions!$B$9</f>
        <v>6205760</v>
      </c>
      <c r="M10" s="9" t="n">
        <f aca="false">M9*Assumptions!$B$9</f>
        <v>8324800</v>
      </c>
    </row>
    <row r="11" customFormat="false" ht="15" hidden="false" customHeight="false" outlineLevel="0" collapsed="false">
      <c r="A11" s="7" t="s">
        <v>34</v>
      </c>
      <c r="B11" s="9" t="n">
        <f aca="false">B9*(1-Assumptions!$B$9)</f>
        <v>1513.6</v>
      </c>
      <c r="C11" s="9" t="n">
        <f aca="false">C9*(1-Assumptions!$B$9)</f>
        <v>11352</v>
      </c>
      <c r="D11" s="9" t="n">
        <f aca="false">D9*(1-Assumptions!$B$9)</f>
        <v>60544</v>
      </c>
      <c r="E11" s="9" t="n">
        <f aca="false">E9*(1-Assumptions!$B$9)</f>
        <v>181632</v>
      </c>
      <c r="F11" s="9" t="n">
        <f aca="false">F9*(1-Assumptions!$B$9)</f>
        <v>393536</v>
      </c>
      <c r="G11" s="9" t="n">
        <f aca="false">G9*(1-Assumptions!$B$9)</f>
        <v>756800</v>
      </c>
      <c r="H11" s="9" t="n">
        <f aca="false">H9*(1-Assumptions!$B$9)</f>
        <v>1271424</v>
      </c>
      <c r="I11" s="9" t="n">
        <f aca="false">I9*(1-Assumptions!$B$9)</f>
        <v>2013088</v>
      </c>
      <c r="J11" s="9" t="n">
        <f aca="false">J9*(1-Assumptions!$B$9)</f>
        <v>3027200</v>
      </c>
      <c r="K11" s="9" t="n">
        <f aca="false">K9*(1-Assumptions!$B$9)</f>
        <v>4427280</v>
      </c>
      <c r="L11" s="9" t="n">
        <f aca="false">L9*(1-Assumptions!$B$9)</f>
        <v>6205760</v>
      </c>
      <c r="M11" s="9" t="n">
        <f aca="false">M9*(1-Assumptions!$B$9)</f>
        <v>8324800</v>
      </c>
    </row>
    <row r="12" customFormat="false" ht="15" hidden="false" customHeight="false" outlineLevel="0" collapsed="false">
      <c r="A12" s="7" t="s">
        <v>35</v>
      </c>
      <c r="B12" s="9" t="n">
        <f aca="false">IF(B10=0,0,B10/Assumptions!$B$11*Assumptions!$B$10)</f>
        <v>9.0816</v>
      </c>
      <c r="C12" s="9" t="n">
        <f aca="false">IF(C10=0,0,C10/Assumptions!$B$11*Assumptions!$B$10)</f>
        <v>68.112</v>
      </c>
      <c r="D12" s="9" t="n">
        <f aca="false">IF(D10=0,0,D10/Assumptions!$B$11*Assumptions!$B$10)</f>
        <v>363.264</v>
      </c>
      <c r="E12" s="9" t="n">
        <f aca="false">IF(E10=0,0,E10/Assumptions!$B$11*Assumptions!$B$10)</f>
        <v>1089.792</v>
      </c>
      <c r="F12" s="9" t="n">
        <f aca="false">IF(F10=0,0,F10/Assumptions!$B$11*Assumptions!$B$10)</f>
        <v>2361.216</v>
      </c>
      <c r="G12" s="9" t="n">
        <f aca="false">IF(G10=0,0,G10/Assumptions!$B$11*Assumptions!$B$10)</f>
        <v>4540.8</v>
      </c>
      <c r="H12" s="9" t="n">
        <f aca="false">IF(H10=0,0,H10/Assumptions!$B$11*Assumptions!$B$10)</f>
        <v>7628.544</v>
      </c>
      <c r="I12" s="9" t="n">
        <f aca="false">IF(I10=0,0,I10/Assumptions!$B$11*Assumptions!$B$10)</f>
        <v>12078.528</v>
      </c>
      <c r="J12" s="9" t="n">
        <f aca="false">IF(J10=0,0,J10/Assumptions!$B$11*Assumptions!$B$10)</f>
        <v>18163.2</v>
      </c>
      <c r="K12" s="9" t="n">
        <f aca="false">IF(K10=0,0,K10/Assumptions!$B$11*Assumptions!$B$10)</f>
        <v>26563.68</v>
      </c>
      <c r="L12" s="9" t="n">
        <f aca="false">IF(L10=0,0,L10/Assumptions!$B$11*Assumptions!$B$10)</f>
        <v>37234.56</v>
      </c>
      <c r="M12" s="9" t="n">
        <f aca="false">IF(M10=0,0,M10/Assumptions!$B$11*Assumptions!$B$10)</f>
        <v>49948.8</v>
      </c>
    </row>
    <row r="13" customFormat="false" ht="15" hidden="false" customHeight="false" outlineLevel="0" collapsed="false">
      <c r="A13" s="7" t="s">
        <v>36</v>
      </c>
      <c r="B13" s="9" t="n">
        <f aca="false">Assumptions!$B$12+Assumptions!$B$13+Assumptions!$B$14</f>
        <v>265000</v>
      </c>
      <c r="C13" s="9" t="n">
        <f aca="false">Assumptions!$B$12+Assumptions!$B$13+Assumptions!$B$14</f>
        <v>265000</v>
      </c>
      <c r="D13" s="9" t="n">
        <f aca="false">Assumptions!$B$12+Assumptions!$B$13+Assumptions!$B$14</f>
        <v>265000</v>
      </c>
      <c r="E13" s="9" t="n">
        <f aca="false">Assumptions!$B$12+Assumptions!$B$13+Assumptions!$B$14</f>
        <v>265000</v>
      </c>
      <c r="F13" s="9" t="n">
        <f aca="false">Assumptions!$B$12+Assumptions!$B$13+Assumptions!$B$14</f>
        <v>265000</v>
      </c>
      <c r="G13" s="9" t="n">
        <f aca="false">Assumptions!$B$12+Assumptions!$B$13+Assumptions!$B$14</f>
        <v>265000</v>
      </c>
      <c r="H13" s="9" t="n">
        <f aca="false">Assumptions!$B$12+Assumptions!$B$13+Assumptions!$B$14</f>
        <v>265000</v>
      </c>
      <c r="I13" s="9" t="n">
        <f aca="false">Assumptions!$B$12+Assumptions!$B$13+Assumptions!$B$14</f>
        <v>265000</v>
      </c>
      <c r="J13" s="9" t="n">
        <f aca="false">Assumptions!$B$12+Assumptions!$B$13+Assumptions!$B$14</f>
        <v>265000</v>
      </c>
      <c r="K13" s="9" t="n">
        <f aca="false">Assumptions!$B$12+Assumptions!$B$13+Assumptions!$B$14</f>
        <v>265000</v>
      </c>
      <c r="L13" s="9" t="n">
        <f aca="false">Assumptions!$B$12+Assumptions!$B$13+Assumptions!$B$14</f>
        <v>265000</v>
      </c>
      <c r="M13" s="9" t="n">
        <f aca="false">Assumptions!$B$12+Assumptions!$B$13+Assumptions!$B$14</f>
        <v>265000</v>
      </c>
    </row>
    <row r="14" customFormat="false" ht="15" hidden="false" customHeight="false" outlineLevel="0" collapsed="false">
      <c r="A14" s="7" t="s">
        <v>37</v>
      </c>
      <c r="B14" s="9" t="n">
        <f aca="false">B11-B12-B13</f>
        <v>-263495.4816</v>
      </c>
      <c r="C14" s="9" t="n">
        <f aca="false">C11-C12-C13</f>
        <v>-253716.112</v>
      </c>
      <c r="D14" s="9" t="n">
        <f aca="false">D11-D12-D13</f>
        <v>-204819.264</v>
      </c>
      <c r="E14" s="9" t="n">
        <f aca="false">E11-E12-E13</f>
        <v>-84457.792</v>
      </c>
      <c r="F14" s="9" t="n">
        <f aca="false">F11-F12-F13</f>
        <v>126174.784</v>
      </c>
      <c r="G14" s="9" t="n">
        <f aca="false">G11-G12-G13</f>
        <v>487259.2</v>
      </c>
      <c r="H14" s="9" t="n">
        <f aca="false">H11-H12-H13</f>
        <v>998795.456</v>
      </c>
      <c r="I14" s="9" t="n">
        <f aca="false">I11-I12-I13</f>
        <v>1736009.472</v>
      </c>
      <c r="J14" s="9" t="n">
        <f aca="false">J11-J12-J13</f>
        <v>2744036.8</v>
      </c>
      <c r="K14" s="9" t="n">
        <f aca="false">K11-K12-K13</f>
        <v>4135716.32</v>
      </c>
      <c r="L14" s="9" t="n">
        <f aca="false">L11-L12-L13</f>
        <v>5903525.44</v>
      </c>
      <c r="M14" s="9" t="n">
        <f aca="false">M11-M12-M13</f>
        <v>8009851.2</v>
      </c>
    </row>
    <row r="15" customFormat="false" ht="15" hidden="false" customHeight="false" outlineLevel="0" collapsed="false">
      <c r="A15" s="7" t="s">
        <v>38</v>
      </c>
      <c r="B15" s="9" t="n">
        <f aca="false">B14</f>
        <v>-263495.4816</v>
      </c>
      <c r="C15" s="9" t="n">
        <f aca="false">B15+C14</f>
        <v>-517211.5936</v>
      </c>
      <c r="D15" s="9" t="n">
        <f aca="false">C15+D14</f>
        <v>-722030.8576</v>
      </c>
      <c r="E15" s="9" t="n">
        <f aca="false">D15+E14</f>
        <v>-806488.6496</v>
      </c>
      <c r="F15" s="9" t="n">
        <f aca="false">E15+F14</f>
        <v>-680313.8656</v>
      </c>
      <c r="G15" s="9" t="n">
        <f aca="false">F15+G14</f>
        <v>-193054.6656</v>
      </c>
      <c r="H15" s="9" t="n">
        <f aca="false">G15+H14</f>
        <v>805740.7904</v>
      </c>
      <c r="I15" s="9" t="n">
        <f aca="false">H15+I14</f>
        <v>2541750.2624</v>
      </c>
      <c r="J15" s="9" t="n">
        <f aca="false">I15+J14</f>
        <v>5285787.0624</v>
      </c>
      <c r="K15" s="9" t="n">
        <f aca="false">J15+K14</f>
        <v>9421503.3824</v>
      </c>
      <c r="L15" s="9" t="n">
        <f aca="false">K15+L14</f>
        <v>15325028.8224</v>
      </c>
      <c r="M15" s="9" t="n">
        <f aca="false">L15+M14</f>
        <v>23334880.0224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6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3" t="s">
        <v>41</v>
      </c>
      <c r="B4" s="3" t="s">
        <v>42</v>
      </c>
      <c r="C4" s="3" t="s">
        <v>43</v>
      </c>
      <c r="D4" s="3" t="s">
        <v>44</v>
      </c>
    </row>
    <row r="5" customFormat="false" ht="15" hidden="false" customHeight="false" outlineLevel="0" collapsed="false">
      <c r="A5" s="10" t="n">
        <v>1000</v>
      </c>
      <c r="B5" s="11" t="n">
        <f aca="false">A5*Assumptions!$B$6*Assumptions!$B$7/1000*0.8*Assumptions!$B$5*(1-Assumptions!$B$9)/100000</f>
        <v>0.60544</v>
      </c>
      <c r="C5" s="11" t="n">
        <f aca="false">A5*Assumptions!$B$6*Assumptions!$B$7/1000*2*Assumptions!$B$5*(1-Assumptions!$B$9)/100000</f>
        <v>1.5136</v>
      </c>
      <c r="D5" s="11" t="n">
        <f aca="false">A5*Assumptions!$B$6*Assumptions!$B$7/1000*5*Assumptions!$B$5*(1-Assumptions!$B$9)/100000</f>
        <v>3.784</v>
      </c>
    </row>
    <row r="6" customFormat="false" ht="15" hidden="false" customHeight="false" outlineLevel="0" collapsed="false">
      <c r="A6" s="10" t="n">
        <v>10000</v>
      </c>
      <c r="B6" s="11" t="n">
        <f aca="false">A6*Assumptions!$B$6*Assumptions!$B$7/1000*0.8*Assumptions!$B$5*(1-Assumptions!$B$9)/100000</f>
        <v>6.0544</v>
      </c>
      <c r="C6" s="11" t="n">
        <f aca="false">A6*Assumptions!$B$6*Assumptions!$B$7/1000*2*Assumptions!$B$5*(1-Assumptions!$B$9)/100000</f>
        <v>15.136</v>
      </c>
      <c r="D6" s="11" t="n">
        <f aca="false">A6*Assumptions!$B$6*Assumptions!$B$7/1000*5*Assumptions!$B$5*(1-Assumptions!$B$9)/100000</f>
        <v>37.84</v>
      </c>
    </row>
    <row r="7" customFormat="false" ht="15" hidden="false" customHeight="false" outlineLevel="0" collapsed="false">
      <c r="A7" s="10" t="n">
        <v>50000</v>
      </c>
      <c r="B7" s="11" t="n">
        <f aca="false">A7*Assumptions!$B$6*Assumptions!$B$7/1000*0.8*Assumptions!$B$5*(1-Assumptions!$B$9)/100000</f>
        <v>30.272</v>
      </c>
      <c r="C7" s="11" t="n">
        <f aca="false">A7*Assumptions!$B$6*Assumptions!$B$7/1000*2*Assumptions!$B$5*(1-Assumptions!$B$9)/100000</f>
        <v>75.68</v>
      </c>
      <c r="D7" s="11" t="n">
        <f aca="false">A7*Assumptions!$B$6*Assumptions!$B$7/1000*5*Assumptions!$B$5*(1-Assumptions!$B$9)/100000</f>
        <v>189.2</v>
      </c>
    </row>
    <row r="8" customFormat="false" ht="15" hidden="false" customHeight="false" outlineLevel="0" collapsed="false">
      <c r="A8" s="10" t="n">
        <v>100000</v>
      </c>
      <c r="B8" s="11" t="n">
        <f aca="false">A8*Assumptions!$B$6*Assumptions!$B$7/1000*0.8*Assumptions!$B$5*(1-Assumptions!$B$9)/100000</f>
        <v>60.544</v>
      </c>
      <c r="C8" s="11" t="n">
        <f aca="false">A8*Assumptions!$B$6*Assumptions!$B$7/1000*2*Assumptions!$B$5*(1-Assumptions!$B$9)/100000</f>
        <v>151.36</v>
      </c>
      <c r="D8" s="11" t="n">
        <f aca="false">A8*Assumptions!$B$6*Assumptions!$B$7/1000*5*Assumptions!$B$5*(1-Assumptions!$B$9)/100000</f>
        <v>378.4</v>
      </c>
    </row>
    <row r="9" customFormat="false" ht="15" hidden="false" customHeight="false" outlineLevel="0" collapsed="false">
      <c r="A9" s="10" t="n">
        <v>200000</v>
      </c>
      <c r="B9" s="11" t="n">
        <f aca="false">A9*Assumptions!$B$6*Assumptions!$B$7/1000*0.8*Assumptions!$B$5*(1-Assumptions!$B$9)/100000</f>
        <v>121.088</v>
      </c>
      <c r="C9" s="11" t="n">
        <f aca="false">A9*Assumptions!$B$6*Assumptions!$B$7/1000*2*Assumptions!$B$5*(1-Assumptions!$B$9)/100000</f>
        <v>302.72</v>
      </c>
      <c r="D9" s="11" t="n">
        <f aca="false">A9*Assumptions!$B$6*Assumptions!$B$7/1000*5*Assumptions!$B$5*(1-Assumptions!$B$9)/100000</f>
        <v>756.8</v>
      </c>
    </row>
    <row r="12" customFormat="false" ht="15" hidden="false" customHeight="false" outlineLevel="0" collapsed="false">
      <c r="A12" s="7" t="s">
        <v>45</v>
      </c>
    </row>
    <row r="13" customFormat="false" ht="15" hidden="false" customHeight="false" outlineLevel="0" collapsed="false">
      <c r="A13" s="3" t="s">
        <v>46</v>
      </c>
      <c r="B13" s="3" t="s">
        <v>47</v>
      </c>
      <c r="C13" s="3" t="s">
        <v>48</v>
      </c>
      <c r="D13" s="3" t="s">
        <v>49</v>
      </c>
    </row>
    <row r="14" customFormat="false" ht="15" hidden="false" customHeight="false" outlineLevel="0" collapsed="false">
      <c r="A14" s="5" t="n">
        <v>0.8</v>
      </c>
      <c r="B14" s="9" t="n">
        <f aca="false">Assumptions!$B$6*Assumptions!$B$7/1000*A14*Assumptions!$B$5</f>
        <v>121.088</v>
      </c>
      <c r="C14" s="9" t="n">
        <f aca="false">B14*Assumptions!$B$9</f>
        <v>60.544</v>
      </c>
      <c r="D14" s="9" t="n">
        <f aca="false">B14*(1-Assumptions!$B$9)</f>
        <v>60.544</v>
      </c>
    </row>
    <row r="15" customFormat="false" ht="15" hidden="false" customHeight="false" outlineLevel="0" collapsed="false">
      <c r="A15" s="5" t="n">
        <v>2</v>
      </c>
      <c r="B15" s="9" t="n">
        <f aca="false">Assumptions!$B$6*Assumptions!$B$7/1000*A15*Assumptions!$B$5</f>
        <v>302.72</v>
      </c>
      <c r="C15" s="9" t="n">
        <f aca="false">B15*Assumptions!$B$9</f>
        <v>151.36</v>
      </c>
      <c r="D15" s="9" t="n">
        <f aca="false">B15*(1-Assumptions!$B$9)</f>
        <v>151.36</v>
      </c>
    </row>
    <row r="16" customFormat="false" ht="15" hidden="false" customHeight="false" outlineLevel="0" collapsed="false">
      <c r="A16" s="5" t="n">
        <v>5</v>
      </c>
      <c r="B16" s="9" t="n">
        <f aca="false">Assumptions!$B$6*Assumptions!$B$7/1000*A16*Assumptions!$B$5</f>
        <v>756.8</v>
      </c>
      <c r="C16" s="9" t="n">
        <f aca="false">B16*Assumptions!$B$9</f>
        <v>378.4</v>
      </c>
      <c r="D16" s="9" t="n">
        <f aca="false">B16*(1-Assumptions!$B$9)</f>
        <v>378.4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2"/>
  </cols>
  <sheetData>
    <row r="1" customFormat="false" ht="16.15" hidden="false" customHeight="false" outlineLevel="0" collapsed="false">
      <c r="A1" s="6" t="s">
        <v>50</v>
      </c>
    </row>
    <row r="3" customFormat="false" ht="15" hidden="false" customHeight="false" outlineLevel="0" collapsed="false">
      <c r="A3" s="3" t="s">
        <v>51</v>
      </c>
      <c r="B3" s="3" t="s">
        <v>52</v>
      </c>
      <c r="C3" s="3" t="s">
        <v>53</v>
      </c>
      <c r="D3" s="3" t="s">
        <v>54</v>
      </c>
    </row>
    <row r="4" customFormat="false" ht="15" hidden="false" customHeight="false" outlineLevel="0" collapsed="false">
      <c r="A4" s="12" t="s">
        <v>55</v>
      </c>
      <c r="B4" s="12" t="s">
        <v>56</v>
      </c>
      <c r="C4" s="12" t="s">
        <v>57</v>
      </c>
      <c r="D4" s="12" t="s">
        <v>58</v>
      </c>
    </row>
    <row r="5" customFormat="false" ht="15" hidden="false" customHeight="false" outlineLevel="0" collapsed="false">
      <c r="A5" s="12" t="s">
        <v>59</v>
      </c>
      <c r="B5" s="12" t="s">
        <v>60</v>
      </c>
      <c r="C5" s="12" t="s">
        <v>61</v>
      </c>
      <c r="D5" s="12" t="s">
        <v>62</v>
      </c>
    </row>
    <row r="6" customFormat="false" ht="15" hidden="false" customHeight="false" outlineLevel="0" collapsed="false">
      <c r="A6" s="12" t="s">
        <v>63</v>
      </c>
      <c r="B6" s="12" t="s">
        <v>64</v>
      </c>
      <c r="C6" s="12" t="s">
        <v>65</v>
      </c>
      <c r="D6" s="12" t="s">
        <v>66</v>
      </c>
    </row>
    <row r="7" customFormat="false" ht="15" hidden="false" customHeight="false" outlineLevel="0" collapsed="false">
      <c r="A7" s="12" t="s">
        <v>67</v>
      </c>
      <c r="B7" s="12" t="s">
        <v>68</v>
      </c>
      <c r="C7" s="12" t="s">
        <v>69</v>
      </c>
      <c r="D7" s="12" t="s">
        <v>66</v>
      </c>
    </row>
    <row r="8" customFormat="false" ht="15" hidden="false" customHeight="false" outlineLevel="0" collapsed="false">
      <c r="A8" s="12" t="s">
        <v>70</v>
      </c>
      <c r="B8" s="12" t="s">
        <v>71</v>
      </c>
      <c r="C8" s="12" t="s">
        <v>72</v>
      </c>
      <c r="D8" s="12" t="s">
        <v>73</v>
      </c>
    </row>
    <row r="9" customFormat="false" ht="15" hidden="false" customHeight="false" outlineLevel="0" collapsed="false">
      <c r="A9" s="12" t="s">
        <v>74</v>
      </c>
      <c r="B9" s="12" t="s">
        <v>75</v>
      </c>
      <c r="C9" s="12" t="s">
        <v>76</v>
      </c>
      <c r="D9" s="12" t="s">
        <v>77</v>
      </c>
    </row>
    <row r="10" customFormat="false" ht="15" hidden="false" customHeight="false" outlineLevel="0" collapsed="false">
      <c r="A10" s="12" t="s">
        <v>78</v>
      </c>
      <c r="B10" s="12" t="s">
        <v>79</v>
      </c>
      <c r="C10" s="12" t="s">
        <v>80</v>
      </c>
      <c r="D10" s="12" t="s">
        <v>77</v>
      </c>
    </row>
    <row r="11" customFormat="false" ht="15" hidden="false" customHeight="false" outlineLevel="0" collapsed="false">
      <c r="A11" s="12" t="s">
        <v>81</v>
      </c>
      <c r="B11" s="12" t="s">
        <v>82</v>
      </c>
      <c r="C11" s="12" t="s">
        <v>83</v>
      </c>
      <c r="D11" s="12" t="s">
        <v>84</v>
      </c>
    </row>
    <row r="12" customFormat="false" ht="15" hidden="false" customHeight="false" outlineLevel="0" collapsed="false">
      <c r="A12" s="12" t="s">
        <v>85</v>
      </c>
      <c r="B12" s="12" t="s">
        <v>86</v>
      </c>
      <c r="C12" s="12" t="s">
        <v>87</v>
      </c>
      <c r="D12" s="12" t="s">
        <v>88</v>
      </c>
    </row>
    <row r="13" customFormat="false" ht="15" hidden="false" customHeight="false" outlineLevel="0" collapsed="false">
      <c r="A13" s="12" t="s">
        <v>15</v>
      </c>
      <c r="B13" s="12" t="s">
        <v>89</v>
      </c>
      <c r="C13" s="12" t="s">
        <v>90</v>
      </c>
      <c r="D13" s="12" t="s">
        <v>66</v>
      </c>
    </row>
    <row r="14" customFormat="false" ht="15" hidden="false" customHeight="false" outlineLevel="0" collapsed="false">
      <c r="A14" s="12" t="s">
        <v>91</v>
      </c>
      <c r="B14" s="12" t="s">
        <v>92</v>
      </c>
      <c r="C14" s="12" t="s">
        <v>93</v>
      </c>
      <c r="D14" s="12" t="s">
        <v>88</v>
      </c>
    </row>
    <row r="15" customFormat="false" ht="15" hidden="false" customHeight="false" outlineLevel="0" collapsed="false">
      <c r="A15" s="12" t="s">
        <v>94</v>
      </c>
      <c r="B15" s="12" t="s">
        <v>95</v>
      </c>
      <c r="C15" s="12" t="s">
        <v>96</v>
      </c>
      <c r="D15" s="1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2026-06-25T16:09:13Z</dcterms:created>
  <dc:creator>openpyxl</dc:creator>
  <dc:description/>
  <dc:language>en-US</dc:language>
  <cp:lastModifiedBy/>
  <dcterms:modified xsi:type="dcterms:W3CDTF">2026-06-25T16:09:13Z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