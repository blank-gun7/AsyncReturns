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er_Dev" sheetId="2" state="visible" r:id="rId4"/>
    <sheet name="Platform_Scale" sheetId="3" state="visible" r:id="rId5"/>
    <sheet name="CPM_vs_FlatDeal" sheetId="4" state="visible" r:id="rId6"/>
    <sheet name="Plan_4mo" sheetId="5" state="visible" r:id="rId7"/>
    <sheet name="14day_Sprint" sheetId="6" state="visible" r:id="rId8"/>
    <sheet name="Compliance_CA" sheetId="7" state="visible" r:id="rId9"/>
    <sheet name="Sources" sheetId="8" state="visible" r:id="rId10"/>
    <sheet name="Global_Blended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<sst xmlns="http://schemas.openxmlformats.org/spreadsheetml/2006/main" count="242" uniqueCount="228">
  <si>
    <t xml:space="preserve">Devorix — Financial Model v3 (TIME-BASED)</t>
  </si>
  <si>
    <t xml:space="preserve">Impressions derived from coding HOURS x %wait-time (not prompts). Blue=input. Tags in Sources sheet.</t>
  </si>
  <si>
    <t xml:space="preserve">Parameter</t>
  </si>
  <si>
    <t xml:space="preserve">Value</t>
  </si>
  <si>
    <t xml:space="preserve">Note / Source</t>
  </si>
  <si>
    <t xml:space="preserve">USD -&gt; INR</t>
  </si>
  <si>
    <t xml:space="preserve">VERIFIED Jun 2026</t>
  </si>
  <si>
    <t xml:space="preserve">Hours coding / day</t>
  </si>
  <si>
    <t xml:space="preserve">Founder: heavy vibe-coding user</t>
  </si>
  <si>
    <t xml:space="preserve">% of time AI is "thinking" (wait)</t>
  </si>
  <si>
    <t xml:space="preserve">VERIFIED-ish: tester 407 impr/3hr ~136/hr ~= 19% wait</t>
  </si>
  <si>
    <t xml:space="preserve">Seconds per impression</t>
  </si>
  <si>
    <t xml:space="preserve">1 impression = 5s shown (Kickbacks unit)</t>
  </si>
  <si>
    <t xml:space="preserve">Active days / month</t>
  </si>
  <si>
    <t xml:space="preserve">assumption</t>
  </si>
  <si>
    <t xml:space="preserve">Gross CPM (INR / 1000 views)</t>
  </si>
  <si>
    <t xml:space="preserve">~$1. Real range $0.27-$11; India dev display Rs64-130</t>
  </si>
  <si>
    <t xml:space="preserve">Fill rate (% views sold)</t>
  </si>
  <si>
    <t xml:space="preserve">THE constraint. Today ~0 (no advertisers). 30% = optimistic-but-earned</t>
  </si>
  <si>
    <t xml:space="preserve">Dev revenue share</t>
  </si>
  <si>
    <t xml:space="preserve">decided 50%</t>
  </si>
  <si>
    <t xml:space="preserve">Active developers</t>
  </si>
  <si>
    <t xml:space="preserve">500 installs x 40% weekly-active</t>
  </si>
  <si>
    <t xml:space="preserve">Flat fee / advertiser / month (Rs)</t>
  </si>
  <si>
    <t xml:space="preserve">pilot sponsorship price</t>
  </si>
  <si>
    <t xml:space="preserve"># advertisers (flat)</t>
  </si>
  <si>
    <t xml:space="preserve">14-day target 1-2</t>
  </si>
  <si>
    <t xml:space="preserve">Payout cost / txn (Rs)</t>
  </si>
  <si>
    <t xml:space="preserve">RazorpayX UPI Rs2-5 +GST</t>
  </si>
  <si>
    <t xml:space="preserve">Payout threshold (Rs)</t>
  </si>
  <si>
    <t xml:space="preserve">accrue + batch</t>
  </si>
  <si>
    <t xml:space="preserve">Infra + Gemini / month (Rs)</t>
  </si>
  <si>
    <t xml:space="preserve">hosting + AI tools</t>
  </si>
  <si>
    <t xml:space="preserve">Misc / month (Rs)</t>
  </si>
  <si>
    <t xml:space="preserve">domain, tools</t>
  </si>
  <si>
    <t xml:space="preserve">Founder salary / month (Rs)</t>
  </si>
  <si>
    <t xml:space="preserve">sweat equity</t>
  </si>
  <si>
    <t xml:space="preserve">Cash available (Rs)</t>
  </si>
  <si>
    <t xml:space="preserve">founder constraint</t>
  </si>
  <si>
    <t xml:space="preserve">--- GLOBAL EXPANSION INPUTS ---</t>
  </si>
  <si>
    <t xml:space="preserve">% of users that are foreign</t>
  </si>
  <si>
    <t xml:space="preserve">start small; ramp as payouts proven</t>
  </si>
  <si>
    <t xml:space="preserve">CPM foreign users (INR/1000)</t>
  </si>
  <si>
    <t xml:space="preserve">~$5 conservative; observed $8-14 blog, $11 real</t>
  </si>
  <si>
    <t xml:space="preserve">Foreign payout cost (% of payout)</t>
  </si>
  <si>
    <t xml:space="preserve">Wise/PayPal ~3-5% +FX (vs UPI ~0.6%)</t>
  </si>
  <si>
    <t xml:space="preserve">Foreign payout threshold (Rs)</t>
  </si>
  <si>
    <t xml:space="preserve">~$10 (Wise/PayPal min)</t>
  </si>
  <si>
    <t xml:space="preserve">One developer — the time-based chain</t>
  </si>
  <si>
    <t xml:space="preserve">Step</t>
  </si>
  <si>
    <t xml:space="preserve">Ad-views / hour</t>
  </si>
  <si>
    <t xml:space="preserve">Ad-views / day</t>
  </si>
  <si>
    <t xml:space="preserve">Ad-views / month</t>
  </si>
  <si>
    <t xml:space="preserve">Gross value / mo @100% fill (Rs)</t>
  </si>
  <si>
    <t xml:space="preserve">Realized / mo (x fill rate) (Rs)</t>
  </si>
  <si>
    <t xml:space="preserve">Dev keeps / month (Rs)</t>
  </si>
  <si>
    <t xml:space="preserve">Dev keeps / day (Rs)</t>
  </si>
  <si>
    <t xml:space="preserve">Platform keeps from this dev / mo (Rs)</t>
  </si>
  <si>
    <t xml:space="preserve">Key: ad-views are abundant. Earnings hinge on CPM x FILL. Today fill~0 =&gt; earnings~0.</t>
  </si>
  <si>
    <t xml:space="preserve">Platform monthly GROSS revenue (Rs) — active devs x fill rate</t>
  </si>
  <si>
    <t xml:space="preserve">At Gross CPM from Assumptions. Shows supply is huge; value depends on fill (demand).</t>
  </si>
  <si>
    <t xml:space="preserve">Active devs \ fill</t>
  </si>
  <si>
    <t xml:space="preserve">5% fill</t>
  </si>
  <si>
    <t xml:space="preserve">15% fill</t>
  </si>
  <si>
    <t xml:space="preserve">30% fill</t>
  </si>
  <si>
    <t xml:space="preserve">50% fill</t>
  </si>
  <si>
    <t xml:space="preserve">100% fill</t>
  </si>
  <si>
    <t xml:space="preserve">Your MARGIN = above x (1 - dev share). At 50% share, halve these numbers.</t>
  </si>
  <si>
    <t xml:space="preserve">CPM vs Flat deal — same audience, two ways to sell</t>
  </si>
  <si>
    <t xml:space="preserve">At current Assumptions (active devs, CPM, fill, flat fee, #advertisers).</t>
  </si>
  <si>
    <t xml:space="preserve">Metric</t>
  </si>
  <si>
    <t xml:space="preserve">Flat deal</t>
  </si>
  <si>
    <t xml:space="preserve">CPM deal</t>
  </si>
  <si>
    <t xml:space="preserve">Total ad-views / month</t>
  </si>
  <si>
    <t xml:space="preserve">Revenue / month (Rs)</t>
  </si>
  <si>
    <t xml:space="preserve">Implied eCPM (Rs / 1000 views)</t>
  </si>
  <si>
    <t xml:space="preserve">Dev pool / month (Rs)</t>
  </si>
  <si>
    <t xml:space="preserve">Per active dev / month (Rs)</t>
  </si>
  <si>
    <t xml:space="preserve">Your margin / month (Rs)</t>
  </si>
  <si>
    <t xml:space="preserve">Takeaway: flat deal = easy 1st sale but you sell cheap (low eCPM). CPM scales with usage+demand.</t>
  </si>
  <si>
    <t xml:space="preserve">4-Month Plan (flat deals, time-based audience)</t>
  </si>
  <si>
    <t xml:space="preserve">Month 1</t>
  </si>
  <si>
    <t xml:space="preserve">Month 2</t>
  </si>
  <si>
    <t xml:space="preserve">Month 3</t>
  </si>
  <si>
    <t xml:space="preserve">Month 4</t>
  </si>
  <si>
    <t xml:space="preserve">Installs (cumulative)</t>
  </si>
  <si>
    <t xml:space="preserve">Active devs (x40%)</t>
  </si>
  <si>
    <t xml:space="preserve">Ad-views available / mo</t>
  </si>
  <si>
    <t xml:space="preserve"># Advertisers (flat)</t>
  </si>
  <si>
    <t xml:space="preserve">Revenue (Rs)</t>
  </si>
  <si>
    <t xml:space="preserve">Implied eCPM (Rs)</t>
  </si>
  <si>
    <t xml:space="preserve">Dev pool (Rs)</t>
  </si>
  <si>
    <t xml:space="preserve">Platform margin (Rs)</t>
  </si>
  <si>
    <t xml:space="preserve">Payout cost (Rs)</t>
  </si>
  <si>
    <t xml:space="preserve">Fixed costs (Rs)</t>
  </si>
  <si>
    <t xml:space="preserve">Net profit (Rs)</t>
  </si>
  <si>
    <t xml:space="preserve">Cumulative net (Rs)</t>
  </si>
  <si>
    <t xml:space="preserve">Cash remaining (Rs)</t>
  </si>
  <si>
    <t xml:space="preserve">Per active dev (Rs)</t>
  </si>
  <si>
    <t xml:space="preserve">14-Day Sprint — budget &amp; targets</t>
  </si>
  <si>
    <t xml:space="preserve">Item</t>
  </si>
  <si>
    <t xml:space="preserve">Cost (Rs)</t>
  </si>
  <si>
    <t xml:space="preserve">Note</t>
  </si>
  <si>
    <t xml:space="preserve">Domain</t>
  </si>
  <si>
    <t xml:space="preserve">1 yr</t>
  </si>
  <si>
    <t xml:space="preserve">Hosting</t>
  </si>
  <si>
    <t xml:space="preserve">free tier</t>
  </si>
  <si>
    <t xml:space="preserve">Gemini API (test)</t>
  </si>
  <si>
    <t xml:space="preserve">tiny</t>
  </si>
  <si>
    <t xml:space="preserve">RazorpayX</t>
  </si>
  <si>
    <t xml:space="preserve">free; sandbox first</t>
  </si>
  <si>
    <t xml:space="preserve">Landing (reuse prototype)</t>
  </si>
  <si>
    <t xml:space="preserve">AI Studio app</t>
  </si>
  <si>
    <t xml:space="preserve">Buffer</t>
  </si>
  <si>
    <t xml:space="preserve">misc</t>
  </si>
  <si>
    <t xml:space="preserve">TOTAL spend</t>
  </si>
  <si>
    <t xml:space="preserve">Cash left (of Rs1L)</t>
  </si>
  <si>
    <t xml:space="preserve">TARGETS: 1-2 advertisers (Rs10-15k pilot); 50-100 installs; loop works end-to-end.</t>
  </si>
  <si>
    <t xml:space="preserve">Compliance reality (CA-grade) — stay lean</t>
  </si>
  <si>
    <t xml:space="preserve">Now (&lt;500 users)</t>
  </si>
  <si>
    <t xml:space="preserve">Trigger / note</t>
  </si>
  <si>
    <t xml:space="preserve">Entity</t>
  </si>
  <si>
    <t xml:space="preserve">Proprietorship</t>
  </si>
  <si>
    <t xml:space="preserve">Pvt Ltd later: ~Rs20k + Rs40-70k/yr. Defer.</t>
  </si>
  <si>
    <t xml:space="preserve">GST</t>
  </si>
  <si>
    <t xml:space="preserve">Not required</t>
  </si>
  <si>
    <t xml:space="preserve">Mandatory &gt;Rs20L/yr. Advertiser may want GST invoice -&gt; weigh per deal.</t>
  </si>
  <si>
    <t xml:space="preserve">GST rate on ads</t>
  </si>
  <si>
    <t xml:space="preserve">n/a yet</t>
  </si>
  <si>
    <t xml:space="preserve">18% (SAC 998361) once registered</t>
  </si>
  <si>
    <t xml:space="preserve">TDS on dev payouts</t>
  </si>
  <si>
    <t xml:space="preserve">~None</t>
  </si>
  <si>
    <t xml:space="preserve">194H 2% only &gt;Rs20k/yr per person; you pay ~Rs1-2k. Collect PAN.</t>
  </si>
  <si>
    <t xml:space="preserve">Payouts</t>
  </si>
  <si>
    <t xml:space="preserve">RazorpayX UPI</t>
  </si>
  <si>
    <t xml:space="preserve">Rs2-5+GST each; batch at Rs500</t>
  </si>
  <si>
    <t xml:space="preserve">Annual compliance</t>
  </si>
  <si>
    <t xml:space="preserve">~Rs0-5k</t>
  </si>
  <si>
    <t xml:space="preserve">ITR only as proprietor; jumps after Pvt Ltd</t>
  </si>
  <si>
    <t xml:space="preserve">--- GOING GLOBAL (confirm with CA) ---</t>
  </si>
  <si>
    <t xml:space="preserve">Billing foreign advertisers</t>
  </si>
  <si>
    <t xml:space="preserve">Export of services</t>
  </si>
  <si>
    <t xml:space="preserve">Zero-rated GST WITH LUT; but register GST + file LUT to claim it. Need FIRC/receipt for each USD inflow (FEMA).</t>
  </si>
  <si>
    <t xml:space="preserve">Receiving USD</t>
  </si>
  <si>
    <t xml:space="preserve">PayPal / Wise / Razorpay Intl</t>
  </si>
  <si>
    <t xml:space="preserve">FX + fees; keep FIRC/FIRA as export proof</t>
  </si>
  <si>
    <t xml:space="preserve">Paying foreign developers</t>
  </si>
  <si>
    <t xml:space="preserve">Wise / PayPal</t>
  </si>
  <si>
    <t xml:space="preserve">No UPI abroad; ~3-5% cost; Sec 195 withholding on non-residents may apply unless treaty/no-PE — CONFIRM with CA</t>
  </si>
  <si>
    <t xml:space="preserve">Entity for scale</t>
  </si>
  <si>
    <t xml:space="preserve">Pvt Ltd likely needed</t>
  </si>
  <si>
    <t xml:space="preserve">Foreign clients/investors prefer it; revisit once revenue real</t>
  </si>
  <si>
    <t xml:space="preserve">Sources &amp; confidence (verified Jun 2026)</t>
  </si>
  <si>
    <t xml:space="preserve">Figure</t>
  </si>
  <si>
    <t xml:space="preserve">Confidence</t>
  </si>
  <si>
    <t xml:space="preserve">Source</t>
  </si>
  <si>
    <t xml:space="preserve">USD-INR</t>
  </si>
  <si>
    <t xml:space="preserve">94.5</t>
  </si>
  <si>
    <t xml:space="preserve">VERIFIED</t>
  </si>
  <si>
    <t xml:space="preserve">exchange-rates.org</t>
  </si>
  <si>
    <t xml:space="preserve">Impr/hour (agentic)</t>
  </si>
  <si>
    <t xml:space="preserve">~136/hr</t>
  </si>
  <si>
    <t xml:space="preserve">VERIFIED self-report</t>
  </si>
  <si>
    <t xml:space="preserve">HN tester 407/3hr</t>
  </si>
  <si>
    <t xml:space="preserve">Real CPM</t>
  </si>
  <si>
    <t xml:space="preserve">$0.27-$11; steady ~$0.27</t>
  </si>
  <si>
    <t xml:space="preserve">HN/PH self-reports</t>
  </si>
  <si>
    <t xml:space="preserve">Advertiser demand</t>
  </si>
  <si>
    <t xml:space="preserve">None proven</t>
  </si>
  <si>
    <t xml:space="preserve">VERIFIED gap</t>
  </si>
  <si>
    <t xml:space="preserve">no public revenue/advertisers</t>
  </si>
  <si>
    <t xml:space="preserve">India dev display eCPM</t>
  </si>
  <si>
    <t xml:space="preserve">Rs64-130</t>
  </si>
  <si>
    <t xml:space="preserve">ESTIMATE</t>
  </si>
  <si>
    <t xml:space="preserve">adcostly/apdigi</t>
  </si>
  <si>
    <t xml:space="preserve">Pvt Ltd setup</t>
  </si>
  <si>
    <t xml:space="preserve">~Rs20k</t>
  </si>
  <si>
    <t xml:space="preserve">prakashaandco 2026</t>
  </si>
  <si>
    <t xml:space="preserve">GST on ads / threshold</t>
  </si>
  <si>
    <t xml:space="preserve">18% / Rs20L</t>
  </si>
  <si>
    <t xml:space="preserve">busy.in / CBIC</t>
  </si>
  <si>
    <t xml:space="preserve">TDS 194H/194-O</t>
  </si>
  <si>
    <t xml:space="preserve">2% / 1%</t>
  </si>
  <si>
    <t xml:space="preserve">VERIFIED rates</t>
  </si>
  <si>
    <t xml:space="preserve">incometaxindia.gov.in</t>
  </si>
  <si>
    <t xml:space="preserve">Pvt Ltd annual compliance</t>
  </si>
  <si>
    <t xml:space="preserve">Rs40-70k/yr</t>
  </si>
  <si>
    <t xml:space="preserve">virtualauditor</t>
  </si>
  <si>
    <t xml:space="preserve">UPI payout cost</t>
  </si>
  <si>
    <t xml:space="preserve">Rs2-5+GST</t>
  </si>
  <si>
    <t xml:space="preserve">razorpay docs</t>
  </si>
  <si>
    <t xml:space="preserve">Hours, wait%, fill, CPM</t>
  </si>
  <si>
    <t xml:space="preserve">model inputs</t>
  </si>
  <si>
    <t xml:space="preserve">ASSUMPTION</t>
  </si>
  <si>
    <t xml:space="preserve">founder + our estimates</t>
  </si>
  <si>
    <t xml:space="preserve">CPM foreign (dev audience)</t>
  </si>
  <si>
    <t xml:space="preserve">$8-14 blog / $11 real</t>
  </si>
  <si>
    <t xml:space="preserve">EST/VERIFIED</t>
  </si>
  <si>
    <t xml:space="preserve">AIWaitIndex; HN tester</t>
  </si>
  <si>
    <t xml:space="preserve">US dev newsletter CPM (ceiling)</t>
  </si>
  <si>
    <t xml:space="preserve">$50-120</t>
  </si>
  <si>
    <t xml:space="preserve">admailr/dupple</t>
  </si>
  <si>
    <t xml:space="preserve">Export of services GST</t>
  </si>
  <si>
    <t xml:space="preserve">Zero-rated w/ LUT</t>
  </si>
  <si>
    <t xml:space="preserve">CBIC / Razorpay learn</t>
  </si>
  <si>
    <t xml:space="preserve">Sec 195 (pay non-residents)</t>
  </si>
  <si>
    <t xml:space="preserve">withholding varies</t>
  </si>
  <si>
    <t xml:space="preserve">VERIFIED concept</t>
  </si>
  <si>
    <t xml:space="preserve">incometaxindia; treaty-dependent</t>
  </si>
  <si>
    <t xml:space="preserve">Wise/PayPal payout cost</t>
  </si>
  <si>
    <t xml:space="preserve">~3-5% +FX</t>
  </si>
  <si>
    <t xml:space="preserve">provider pricing</t>
  </si>
  <si>
    <t xml:space="preserve">Global / blended — adding foreign users &amp; advertisers</t>
  </si>
  <si>
    <t xml:space="preserve">Foreign impressions pay ~5x India. Driven by Assumptions (% foreign, CPM foreign, fill).</t>
  </si>
  <si>
    <t xml:space="preserve">Active users (total)</t>
  </si>
  <si>
    <t xml:space="preserve">  India users</t>
  </si>
  <si>
    <t xml:space="preserve">  Foreign users</t>
  </si>
  <si>
    <t xml:space="preserve">Ad-views / user / month</t>
  </si>
  <si>
    <t xml:space="preserve">India revenue / mo (Rs)</t>
  </si>
  <si>
    <t xml:space="preserve">Foreign revenue / mo (Rs)</t>
  </si>
  <si>
    <t xml:space="preserve">TOTAL revenue / mo (Rs)</t>
  </si>
  <si>
    <t xml:space="preserve">India-only revenue (same users) (Rs)</t>
  </si>
  <si>
    <t xml:space="preserve">Uplift from going global (x)</t>
  </si>
  <si>
    <t xml:space="preserve">Blended eCPM (Rs/1000)</t>
  </si>
  <si>
    <t xml:space="preserve">Dev pool / mo (Rs)</t>
  </si>
  <si>
    <t xml:space="preserve">  less foreign payout cost (Rs)</t>
  </si>
  <si>
    <t xml:space="preserve">Platform margin / mo (Rs)</t>
  </si>
  <si>
    <t xml:space="preserve">Takeaway: ~20% foreign users can ~2x revenue (foreign CPM ~5x). Payout cost rises but stays small.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</si>
</sst>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\x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2"/>
    <col collapsed="false" customWidth="true" hidden="false" outlineLevel="0" max="3" min="3" style="1" width="66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</row>
    <row r="5" customFormat="false" ht="15" hidden="false" customHeight="true" outlineLevel="0" collapsed="false">
      <c r="A5" s="1" t="s">
        <v>5</v>
      </c>
      <c r="B5" s="5" t="n">
        <f aca="false">94.5</f>
        <v>94.5</v>
      </c>
      <c r="C5" s="3" t="s">
        <v>6</v>
      </c>
    </row>
    <row r="6" customFormat="false" ht="15" hidden="false" customHeight="true" outlineLevel="0" collapsed="false">
      <c r="A6" s="1" t="s">
        <v>7</v>
      </c>
      <c r="B6" s="5" t="n">
        <f aca="false">6</f>
        <v>6</v>
      </c>
      <c r="C6" s="3" t="s">
        <v>8</v>
      </c>
    </row>
    <row r="7" customFormat="false" ht="15" hidden="false" customHeight="true" outlineLevel="0" collapsed="false">
      <c r="A7" s="1" t="s">
        <v>9</v>
      </c>
      <c r="B7" s="5" t="n">
        <f aca="false">0.2</f>
        <v>0.2</v>
      </c>
      <c r="C7" s="3" t="s">
        <v>10</v>
      </c>
    </row>
    <row r="8" customFormat="false" ht="15" hidden="false" customHeight="true" outlineLevel="0" collapsed="false">
      <c r="A8" s="1" t="s">
        <v>11</v>
      </c>
      <c r="B8" s="5" t="n">
        <f aca="false">5</f>
        <v>5</v>
      </c>
      <c r="C8" s="3" t="s">
        <v>12</v>
      </c>
    </row>
    <row r="9" customFormat="false" ht="15" hidden="false" customHeight="true" outlineLevel="0" collapsed="false">
      <c r="A9" s="1" t="s">
        <v>13</v>
      </c>
      <c r="B9" s="5" t="n">
        <f aca="false">22</f>
        <v>22</v>
      </c>
      <c r="C9" s="3" t="s">
        <v>14</v>
      </c>
    </row>
    <row r="10" customFormat="false" ht="15" hidden="false" customHeight="true" outlineLevel="0" collapsed="false">
      <c r="A10" s="1" t="s">
        <v>15</v>
      </c>
      <c r="B10" s="5" t="n">
        <f aca="false">95</f>
        <v>95</v>
      </c>
      <c r="C10" s="3" t="s">
        <v>16</v>
      </c>
    </row>
    <row r="11" customFormat="false" ht="15" hidden="false" customHeight="true" outlineLevel="0" collapsed="false">
      <c r="A11" s="1" t="s">
        <v>17</v>
      </c>
      <c r="B11" s="5" t="n">
        <f aca="false">0.3</f>
        <v>0.3</v>
      </c>
      <c r="C11" s="3" t="s">
        <v>18</v>
      </c>
    </row>
    <row r="12" customFormat="false" ht="15" hidden="false" customHeight="true" outlineLevel="0" collapsed="false">
      <c r="A12" s="1" t="s">
        <v>19</v>
      </c>
      <c r="B12" s="5" t="n">
        <f aca="false">0.5</f>
        <v>0.5</v>
      </c>
      <c r="C12" s="3" t="s">
        <v>20</v>
      </c>
    </row>
    <row r="13" customFormat="false" ht="15" hidden="false" customHeight="true" outlineLevel="0" collapsed="false">
      <c r="A13" s="1" t="s">
        <v>21</v>
      </c>
      <c r="B13" s="5" t="n">
        <f aca="false">200</f>
        <v>200</v>
      </c>
      <c r="C13" s="3" t="s">
        <v>22</v>
      </c>
    </row>
    <row r="14" customFormat="false" ht="15" hidden="false" customHeight="true" outlineLevel="0" collapsed="false">
      <c r="A14" s="1" t="s">
        <v>23</v>
      </c>
      <c r="B14" s="5" t="n">
        <f aca="false">15000</f>
        <v>15000</v>
      </c>
      <c r="C14" s="3" t="s">
        <v>24</v>
      </c>
    </row>
    <row r="15" customFormat="false" ht="15" hidden="false" customHeight="true" outlineLevel="0" collapsed="false">
      <c r="A15" s="1" t="s">
        <v>25</v>
      </c>
      <c r="B15" s="5" t="n">
        <f aca="false">2</f>
        <v>2</v>
      </c>
      <c r="C15" s="3" t="s">
        <v>26</v>
      </c>
    </row>
    <row r="16" customFormat="false" ht="15" hidden="false" customHeight="true" outlineLevel="0" collapsed="false">
      <c r="A16" s="1" t="s">
        <v>27</v>
      </c>
      <c r="B16" s="5" t="n">
        <f aca="false">4</f>
        <v>4</v>
      </c>
      <c r="C16" s="3" t="s">
        <v>28</v>
      </c>
    </row>
    <row r="17" customFormat="false" ht="15" hidden="false" customHeight="true" outlineLevel="0" collapsed="false">
      <c r="A17" s="1" t="s">
        <v>29</v>
      </c>
      <c r="B17" s="5" t="n">
        <f aca="false">500</f>
        <v>500</v>
      </c>
      <c r="C17" s="3" t="s">
        <v>30</v>
      </c>
    </row>
    <row r="18" customFormat="false" ht="15" hidden="false" customHeight="true" outlineLevel="0" collapsed="false">
      <c r="A18" s="1" t="s">
        <v>31</v>
      </c>
      <c r="B18" s="5" t="n">
        <f aca="false">3000</f>
        <v>3000</v>
      </c>
      <c r="C18" s="3" t="s">
        <v>32</v>
      </c>
    </row>
    <row r="19" customFormat="false" ht="15" hidden="false" customHeight="true" outlineLevel="0" collapsed="false">
      <c r="A19" s="1" t="s">
        <v>33</v>
      </c>
      <c r="B19" s="5" t="n">
        <f aca="false">2000</f>
        <v>2000</v>
      </c>
      <c r="C19" s="3" t="s">
        <v>34</v>
      </c>
    </row>
    <row r="20" customFormat="false" ht="15" hidden="false" customHeight="true" outlineLevel="0" collapsed="false">
      <c r="A20" s="1" t="s">
        <v>35</v>
      </c>
      <c r="B20" s="5" t="n">
        <f aca="false">0</f>
        <v>0</v>
      </c>
      <c r="C20" s="3" t="s">
        <v>36</v>
      </c>
    </row>
    <row r="21" customFormat="false" ht="15" hidden="false" customHeight="true" outlineLevel="0" collapsed="false">
      <c r="A21" s="1" t="s">
        <v>37</v>
      </c>
      <c r="B21" s="5" t="n">
        <f aca="false">100000</f>
        <v>100000</v>
      </c>
      <c r="C21" s="3" t="s">
        <v>38</v>
      </c>
    </row>
    <row r="23" customFormat="false" ht="15" hidden="false" customHeight="false" outlineLevel="0" collapsed="false">
      <c r="A23" s="6" t="s">
        <v>39</v>
      </c>
    </row>
    <row r="24" customFormat="false" ht="15" hidden="false" customHeight="false" outlineLevel="0" collapsed="false">
      <c r="A24" s="1" t="s">
        <v>40</v>
      </c>
      <c r="B24" s="7" t="n">
        <f aca="false">0.2</f>
        <v>0.2</v>
      </c>
      <c r="C24" s="8" t="s">
        <v>41</v>
      </c>
    </row>
    <row r="25" customFormat="false" ht="15" hidden="false" customHeight="false" outlineLevel="0" collapsed="false">
      <c r="A25" s="1" t="s">
        <v>42</v>
      </c>
      <c r="B25" s="7" t="n">
        <f aca="false">472</f>
        <v>472</v>
      </c>
      <c r="C25" s="8" t="s">
        <v>43</v>
      </c>
    </row>
    <row r="26" customFormat="false" ht="15" hidden="false" customHeight="false" outlineLevel="0" collapsed="false">
      <c r="A26" s="1" t="s">
        <v>44</v>
      </c>
      <c r="B26" s="7" t="n">
        <f aca="false">0.04</f>
        <v>0.04</v>
      </c>
      <c r="C26" s="8" t="s">
        <v>45</v>
      </c>
    </row>
    <row r="27" customFormat="false" ht="15" hidden="false" customHeight="false" outlineLevel="0" collapsed="false">
      <c r="A27" s="1" t="s">
        <v>46</v>
      </c>
      <c r="B27" s="7" t="n">
        <f aca="false">945</f>
        <v>945</v>
      </c>
      <c r="C27" s="8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</cols>
  <sheetData>
    <row r="1" customFormat="false" ht="15.75" hidden="false" customHeight="true" outlineLevel="0" collapsed="false">
      <c r="A1" s="9" t="s">
        <v>48</v>
      </c>
    </row>
    <row r="3" customFormat="false" ht="15" hidden="false" customHeight="true" outlineLevel="0" collapsed="false">
      <c r="A3" s="4" t="s">
        <v>49</v>
      </c>
      <c r="B3" s="4" t="s">
        <v>3</v>
      </c>
    </row>
    <row r="4" customFormat="false" ht="15" hidden="false" customHeight="true" outlineLevel="0" collapsed="false">
      <c r="A4" s="10" t="s">
        <v>50</v>
      </c>
      <c r="B4" s="11" t="n">
        <f aca="false">3600*Assumptions!$B$7/Assumptions!$B$8</f>
        <v>144</v>
      </c>
    </row>
    <row r="5" customFormat="false" ht="15" hidden="false" customHeight="true" outlineLevel="0" collapsed="false">
      <c r="A5" s="10" t="s">
        <v>51</v>
      </c>
      <c r="B5" s="11" t="n">
        <f aca="false">B4*Assumptions!$B$6</f>
        <v>864</v>
      </c>
    </row>
    <row r="6" customFormat="false" ht="15" hidden="false" customHeight="true" outlineLevel="0" collapsed="false">
      <c r="A6" s="10" t="s">
        <v>52</v>
      </c>
      <c r="B6" s="11" t="n">
        <f aca="false">B5*Assumptions!$B$9</f>
        <v>19008</v>
      </c>
    </row>
    <row r="7" customFormat="false" ht="15" hidden="false" customHeight="true" outlineLevel="0" collapsed="false">
      <c r="A7" s="10" t="s">
        <v>53</v>
      </c>
      <c r="B7" s="11" t="n">
        <f aca="false">B6/1000*Assumptions!$B$10</f>
        <v>1805.76</v>
      </c>
    </row>
    <row r="8" customFormat="false" ht="15" hidden="false" customHeight="true" outlineLevel="0" collapsed="false">
      <c r="A8" s="10" t="s">
        <v>54</v>
      </c>
      <c r="B8" s="11" t="n">
        <f aca="false">B7*Assumptions!$B$11</f>
        <v>541.728</v>
      </c>
    </row>
    <row r="9" customFormat="false" ht="15" hidden="false" customHeight="true" outlineLevel="0" collapsed="false">
      <c r="A9" s="10" t="s">
        <v>55</v>
      </c>
      <c r="B9" s="11" t="n">
        <f aca="false">B8*Assumptions!$B$12</f>
        <v>270.864</v>
      </c>
    </row>
    <row r="10" customFormat="false" ht="15" hidden="false" customHeight="true" outlineLevel="0" collapsed="false">
      <c r="A10" s="10" t="s">
        <v>56</v>
      </c>
      <c r="B10" s="11" t="n">
        <f aca="false">B9/Assumptions!$B$9</f>
        <v>12.312</v>
      </c>
    </row>
    <row r="11" customFormat="false" ht="15" hidden="false" customHeight="true" outlineLevel="0" collapsed="false">
      <c r="A11" s="10" t="s">
        <v>57</v>
      </c>
      <c r="B11" s="11" t="n">
        <f aca="false">B8*(1-Assumptions!$B$12)</f>
        <v>270.864</v>
      </c>
    </row>
    <row r="13" customFormat="false" ht="15" hidden="false" customHeight="true" outlineLevel="0" collapsed="false">
      <c r="A13" s="12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6" min="2" style="1" width="14"/>
  </cols>
  <sheetData>
    <row r="1" customFormat="false" ht="15.75" hidden="false" customHeight="true" outlineLevel="0" collapsed="false">
      <c r="A1" s="9" t="s">
        <v>59</v>
      </c>
    </row>
    <row r="2" customFormat="false" ht="15" hidden="false" customHeight="true" outlineLevel="0" collapsed="false">
      <c r="A2" s="3" t="s">
        <v>60</v>
      </c>
    </row>
    <row r="4" customFormat="false" ht="15" hidden="false" customHeight="true" outlineLevel="0" collapsed="false">
      <c r="A4" s="4" t="s">
        <v>61</v>
      </c>
      <c r="B4" s="4" t="s">
        <v>62</v>
      </c>
      <c r="C4" s="4" t="s">
        <v>63</v>
      </c>
      <c r="D4" s="4" t="s">
        <v>64</v>
      </c>
      <c r="E4" s="4" t="s">
        <v>65</v>
      </c>
      <c r="F4" s="4" t="s">
        <v>66</v>
      </c>
    </row>
    <row r="5" customFormat="false" ht="15" hidden="false" customHeight="true" outlineLevel="0" collapsed="false">
      <c r="A5" s="5" t="n">
        <v>50</v>
      </c>
      <c r="B5" s="11" t="n">
        <f aca="false">A5*(3600*Assumptions!$B$7/Assumptions!$B$8*Assumptions!$B$6*Assumptions!$B$9)/1000*Assumptions!$B$10*0.05</f>
        <v>4514.4</v>
      </c>
      <c r="C5" s="11" t="n">
        <f aca="false">A5*(3600*Assumptions!$B$7/Assumptions!$B$8*Assumptions!$B$6*Assumptions!$B$9)/1000*Assumptions!$B$10*0.15</f>
        <v>13543.2</v>
      </c>
      <c r="D5" s="11" t="n">
        <f aca="false">A5*(3600*Assumptions!$B$7/Assumptions!$B$8*Assumptions!$B$6*Assumptions!$B$9)/1000*Assumptions!$B$10*0.3</f>
        <v>27086.4</v>
      </c>
      <c r="E5" s="11" t="n">
        <f aca="false">A5*(3600*Assumptions!$B$7/Assumptions!$B$8*Assumptions!$B$6*Assumptions!$B$9)/1000*Assumptions!$B$10*0.5</f>
        <v>45144</v>
      </c>
      <c r="F5" s="11" t="n">
        <f aca="false">A5*(3600*Assumptions!$B$7/Assumptions!$B$8*Assumptions!$B$6*Assumptions!$B$9)/1000*Assumptions!$B$10*1</f>
        <v>90288</v>
      </c>
    </row>
    <row r="6" customFormat="false" ht="15" hidden="false" customHeight="true" outlineLevel="0" collapsed="false">
      <c r="A6" s="5" t="n">
        <v>100</v>
      </c>
      <c r="B6" s="11" t="n">
        <f aca="false">A6*(3600*Assumptions!$B$7/Assumptions!$B$8*Assumptions!$B$6*Assumptions!$B$9)/1000*Assumptions!$B$10*0.05</f>
        <v>9028.8</v>
      </c>
      <c r="C6" s="11" t="n">
        <f aca="false">A6*(3600*Assumptions!$B$7/Assumptions!$B$8*Assumptions!$B$6*Assumptions!$B$9)/1000*Assumptions!$B$10*0.15</f>
        <v>27086.4</v>
      </c>
      <c r="D6" s="11" t="n">
        <f aca="false">A6*(3600*Assumptions!$B$7/Assumptions!$B$8*Assumptions!$B$6*Assumptions!$B$9)/1000*Assumptions!$B$10*0.3</f>
        <v>54172.8</v>
      </c>
      <c r="E6" s="11" t="n">
        <f aca="false">A6*(3600*Assumptions!$B$7/Assumptions!$B$8*Assumptions!$B$6*Assumptions!$B$9)/1000*Assumptions!$B$10*0.5</f>
        <v>90288</v>
      </c>
      <c r="F6" s="11" t="n">
        <f aca="false">A6*(3600*Assumptions!$B$7/Assumptions!$B$8*Assumptions!$B$6*Assumptions!$B$9)/1000*Assumptions!$B$10*1</f>
        <v>180576</v>
      </c>
    </row>
    <row r="7" customFormat="false" ht="15" hidden="false" customHeight="true" outlineLevel="0" collapsed="false">
      <c r="A7" s="5" t="n">
        <v>200</v>
      </c>
      <c r="B7" s="11" t="n">
        <f aca="false">A7*(3600*Assumptions!$B$7/Assumptions!$B$8*Assumptions!$B$6*Assumptions!$B$9)/1000*Assumptions!$B$10*0.05</f>
        <v>18057.6</v>
      </c>
      <c r="C7" s="11" t="n">
        <f aca="false">A7*(3600*Assumptions!$B$7/Assumptions!$B$8*Assumptions!$B$6*Assumptions!$B$9)/1000*Assumptions!$B$10*0.15</f>
        <v>54172.8</v>
      </c>
      <c r="D7" s="11" t="n">
        <f aca="false">A7*(3600*Assumptions!$B$7/Assumptions!$B$8*Assumptions!$B$6*Assumptions!$B$9)/1000*Assumptions!$B$10*0.3</f>
        <v>108345.6</v>
      </c>
      <c r="E7" s="11" t="n">
        <f aca="false">A7*(3600*Assumptions!$B$7/Assumptions!$B$8*Assumptions!$B$6*Assumptions!$B$9)/1000*Assumptions!$B$10*0.5</f>
        <v>180576</v>
      </c>
      <c r="F7" s="11" t="n">
        <f aca="false">A7*(3600*Assumptions!$B$7/Assumptions!$B$8*Assumptions!$B$6*Assumptions!$B$9)/1000*Assumptions!$B$10*1</f>
        <v>361152</v>
      </c>
    </row>
    <row r="8" customFormat="false" ht="15" hidden="false" customHeight="true" outlineLevel="0" collapsed="false">
      <c r="A8" s="5" t="n">
        <v>350</v>
      </c>
      <c r="B8" s="11" t="n">
        <f aca="false">A8*(3600*Assumptions!$B$7/Assumptions!$B$8*Assumptions!$B$6*Assumptions!$B$9)/1000*Assumptions!$B$10*0.05</f>
        <v>31600.8</v>
      </c>
      <c r="C8" s="11" t="n">
        <f aca="false">A8*(3600*Assumptions!$B$7/Assumptions!$B$8*Assumptions!$B$6*Assumptions!$B$9)/1000*Assumptions!$B$10*0.15</f>
        <v>94802.4</v>
      </c>
      <c r="D8" s="11" t="n">
        <f aca="false">A8*(3600*Assumptions!$B$7/Assumptions!$B$8*Assumptions!$B$6*Assumptions!$B$9)/1000*Assumptions!$B$10*0.3</f>
        <v>189604.8</v>
      </c>
      <c r="E8" s="11" t="n">
        <f aca="false">A8*(3600*Assumptions!$B$7/Assumptions!$B$8*Assumptions!$B$6*Assumptions!$B$9)/1000*Assumptions!$B$10*0.5</f>
        <v>316008</v>
      </c>
      <c r="F8" s="11" t="n">
        <f aca="false">A8*(3600*Assumptions!$B$7/Assumptions!$B$8*Assumptions!$B$6*Assumptions!$B$9)/1000*Assumptions!$B$10*1</f>
        <v>632016</v>
      </c>
    </row>
    <row r="9" customFormat="false" ht="15" hidden="false" customHeight="true" outlineLevel="0" collapsed="false">
      <c r="A9" s="5" t="n">
        <v>500</v>
      </c>
      <c r="B9" s="11" t="n">
        <f aca="false">A9*(3600*Assumptions!$B$7/Assumptions!$B$8*Assumptions!$B$6*Assumptions!$B$9)/1000*Assumptions!$B$10*0.05</f>
        <v>45144</v>
      </c>
      <c r="C9" s="11" t="n">
        <f aca="false">A9*(3600*Assumptions!$B$7/Assumptions!$B$8*Assumptions!$B$6*Assumptions!$B$9)/1000*Assumptions!$B$10*0.15</f>
        <v>135432</v>
      </c>
      <c r="D9" s="11" t="n">
        <f aca="false">A9*(3600*Assumptions!$B$7/Assumptions!$B$8*Assumptions!$B$6*Assumptions!$B$9)/1000*Assumptions!$B$10*0.3</f>
        <v>270864</v>
      </c>
      <c r="E9" s="11" t="n">
        <f aca="false">A9*(3600*Assumptions!$B$7/Assumptions!$B$8*Assumptions!$B$6*Assumptions!$B$9)/1000*Assumptions!$B$10*0.5</f>
        <v>451440</v>
      </c>
      <c r="F9" s="11" t="n">
        <f aca="false">A9*(3600*Assumptions!$B$7/Assumptions!$B$8*Assumptions!$B$6*Assumptions!$B$9)/1000*Assumptions!$B$10*1</f>
        <v>902880</v>
      </c>
    </row>
    <row r="12" customFormat="false" ht="15" hidden="false" customHeight="true" outlineLevel="0" collapsed="false">
      <c r="A12" s="13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9" t="s">
        <v>68</v>
      </c>
    </row>
    <row r="2" customFormat="false" ht="15" hidden="false" customHeight="true" outlineLevel="0" collapsed="false">
      <c r="A2" s="3" t="s">
        <v>69</v>
      </c>
    </row>
    <row r="4" customFormat="false" ht="15" hidden="false" customHeight="true" outlineLevel="0" collapsed="false">
      <c r="A4" s="4" t="s">
        <v>70</v>
      </c>
      <c r="B4" s="4" t="s">
        <v>71</v>
      </c>
      <c r="C4" s="4" t="s">
        <v>72</v>
      </c>
    </row>
    <row r="5" customFormat="false" ht="15" hidden="false" customHeight="true" outlineLevel="0" collapsed="false">
      <c r="A5" s="10" t="s">
        <v>73</v>
      </c>
      <c r="B5" s="11" t="n">
        <f aca="false">Assumptions!$B$13*(3600*Assumptions!$B$7/Assumptions!$B$8*Assumptions!$B$6*Assumptions!$B$9)</f>
        <v>3801600</v>
      </c>
      <c r="C5" s="11" t="n">
        <f aca="false">Assumptions!$B$13*(3600*Assumptions!$B$7/Assumptions!$B$8*Assumptions!$B$6*Assumptions!$B$9)</f>
        <v>3801600</v>
      </c>
    </row>
    <row r="6" customFormat="false" ht="15" hidden="false" customHeight="true" outlineLevel="0" collapsed="false">
      <c r="A6" s="10" t="s">
        <v>74</v>
      </c>
      <c r="B6" s="11" t="n">
        <f aca="false">Assumptions!$B$15*Assumptions!$B$14</f>
        <v>30000</v>
      </c>
      <c r="C6" s="11" t="n">
        <f aca="false">B5*Assumptions!$B$11/1000*Assumptions!$B$10</f>
        <v>108345.6</v>
      </c>
    </row>
    <row r="7" customFormat="false" ht="15" hidden="false" customHeight="true" outlineLevel="0" collapsed="false">
      <c r="A7" s="10" t="s">
        <v>75</v>
      </c>
      <c r="B7" s="11" t="n">
        <f aca="false">B6/(B5/1000)</f>
        <v>7.89141414141414</v>
      </c>
      <c r="C7" s="11" t="n">
        <f aca="false">Assumptions!$B$10*Assumptions!$B$11</f>
        <v>28.5</v>
      </c>
    </row>
    <row r="8" customFormat="false" ht="15" hidden="false" customHeight="true" outlineLevel="0" collapsed="false">
      <c r="A8" s="10" t="s">
        <v>76</v>
      </c>
      <c r="B8" s="11" t="n">
        <f aca="false">B6*Assumptions!$B$12</f>
        <v>15000</v>
      </c>
      <c r="C8" s="11" t="n">
        <f aca="false">C6*Assumptions!$B$12</f>
        <v>54172.8</v>
      </c>
    </row>
    <row r="9" customFormat="false" ht="15" hidden="false" customHeight="true" outlineLevel="0" collapsed="false">
      <c r="A9" s="10" t="s">
        <v>77</v>
      </c>
      <c r="B9" s="11" t="n">
        <f aca="false">B8/Assumptions!$B$13</f>
        <v>75</v>
      </c>
      <c r="C9" s="11" t="n">
        <f aca="false">C8/Assumptions!$B$13</f>
        <v>270.864</v>
      </c>
    </row>
    <row r="10" customFormat="false" ht="15" hidden="false" customHeight="true" outlineLevel="0" collapsed="false">
      <c r="A10" s="10" t="s">
        <v>78</v>
      </c>
      <c r="B10" s="11" t="n">
        <f aca="false">B6*(1-Assumptions!$B$12)</f>
        <v>15000</v>
      </c>
      <c r="C10" s="11" t="n">
        <f aca="false">C6*(1-Assumptions!$B$12)</f>
        <v>54172.8</v>
      </c>
    </row>
    <row r="12" customFormat="false" ht="15" hidden="false" customHeight="true" outlineLevel="0" collapsed="false">
      <c r="A12" s="14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12"/>
  </cols>
  <sheetData>
    <row r="1" customFormat="false" ht="15.75" hidden="false" customHeight="true" outlineLevel="0" collapsed="false">
      <c r="A1" s="9" t="s">
        <v>80</v>
      </c>
    </row>
    <row r="4" customFormat="false" ht="15" hidden="false" customHeight="true" outlineLevel="0" collapsed="false">
      <c r="A4" s="4" t="s">
        <v>70</v>
      </c>
      <c r="B4" s="4" t="s">
        <v>81</v>
      </c>
      <c r="C4" s="4" t="s">
        <v>82</v>
      </c>
      <c r="D4" s="4" t="s">
        <v>83</v>
      </c>
      <c r="E4" s="4" t="s">
        <v>84</v>
      </c>
    </row>
    <row r="5" customFormat="false" ht="15" hidden="false" customHeight="true" outlineLevel="0" collapsed="false">
      <c r="A5" s="10" t="s">
        <v>85</v>
      </c>
      <c r="B5" s="5" t="n">
        <v>100</v>
      </c>
      <c r="C5" s="5" t="n">
        <v>250</v>
      </c>
      <c r="D5" s="5" t="n">
        <v>400</v>
      </c>
      <c r="E5" s="5" t="n">
        <v>500</v>
      </c>
    </row>
    <row r="6" customFormat="false" ht="15" hidden="false" customHeight="true" outlineLevel="0" collapsed="false">
      <c r="A6" s="10" t="s">
        <v>86</v>
      </c>
      <c r="B6" s="11" t="n">
        <f aca="false">B5*0.4</f>
        <v>40</v>
      </c>
      <c r="C6" s="11" t="n">
        <f aca="false">C5*0.4</f>
        <v>100</v>
      </c>
      <c r="D6" s="11" t="n">
        <f aca="false">D5*0.4</f>
        <v>160</v>
      </c>
      <c r="E6" s="11" t="n">
        <f aca="false">E5*0.4</f>
        <v>200</v>
      </c>
    </row>
    <row r="7" customFormat="false" ht="15" hidden="false" customHeight="true" outlineLevel="0" collapsed="false">
      <c r="A7" s="10" t="s">
        <v>87</v>
      </c>
      <c r="B7" s="11" t="n">
        <f aca="false">B6*(3600*Assumptions!$B$7/Assumptions!$B$8*Assumptions!$B$6*Assumptions!$B$9)</f>
        <v>760320</v>
      </c>
      <c r="C7" s="11" t="n">
        <f aca="false">C6*(3600*Assumptions!$B$7/Assumptions!$B$8*Assumptions!$B$6*Assumptions!$B$9)</f>
        <v>1900800</v>
      </c>
      <c r="D7" s="11" t="n">
        <f aca="false">D6*(3600*Assumptions!$B$7/Assumptions!$B$8*Assumptions!$B$6*Assumptions!$B$9)</f>
        <v>3041280</v>
      </c>
      <c r="E7" s="11" t="n">
        <f aca="false">E6*(3600*Assumptions!$B$7/Assumptions!$B$8*Assumptions!$B$6*Assumptions!$B$9)</f>
        <v>3801600</v>
      </c>
    </row>
    <row r="8" customFormat="false" ht="15" hidden="false" customHeight="true" outlineLevel="0" collapsed="false">
      <c r="A8" s="10" t="s">
        <v>88</v>
      </c>
      <c r="B8" s="5" t="n">
        <v>1</v>
      </c>
      <c r="C8" s="5" t="n">
        <v>2</v>
      </c>
      <c r="D8" s="5" t="n">
        <v>2</v>
      </c>
      <c r="E8" s="5" t="n">
        <v>3</v>
      </c>
    </row>
    <row r="9" customFormat="false" ht="15" hidden="false" customHeight="true" outlineLevel="0" collapsed="false">
      <c r="A9" s="10" t="s">
        <v>89</v>
      </c>
      <c r="B9" s="11" t="n">
        <f aca="false">B8*Assumptions!$B$14</f>
        <v>15000</v>
      </c>
      <c r="C9" s="11" t="n">
        <f aca="false">C8*Assumptions!$B$14</f>
        <v>30000</v>
      </c>
      <c r="D9" s="11" t="n">
        <f aca="false">D8*Assumptions!$B$14</f>
        <v>30000</v>
      </c>
      <c r="E9" s="11" t="n">
        <f aca="false">E8*Assumptions!$B$14</f>
        <v>45000</v>
      </c>
    </row>
    <row r="10" customFormat="false" ht="15" hidden="false" customHeight="true" outlineLevel="0" collapsed="false">
      <c r="A10" s="10" t="s">
        <v>90</v>
      </c>
      <c r="B10" s="11" t="n">
        <f aca="false">IF(B7=0,0,B9/(B7/1000))</f>
        <v>19.7285353535354</v>
      </c>
      <c r="C10" s="11" t="n">
        <f aca="false">IF(C7=0,0,C9/(C7/1000))</f>
        <v>15.7828282828283</v>
      </c>
      <c r="D10" s="11" t="n">
        <f aca="false">IF(D7=0,0,D9/(D7/1000))</f>
        <v>9.86426767676768</v>
      </c>
      <c r="E10" s="11" t="n">
        <f aca="false">IF(E7=0,0,E9/(E7/1000))</f>
        <v>11.8371212121212</v>
      </c>
    </row>
    <row r="11" customFormat="false" ht="15" hidden="false" customHeight="true" outlineLevel="0" collapsed="false">
      <c r="A11" s="10" t="s">
        <v>91</v>
      </c>
      <c r="B11" s="11" t="n">
        <f aca="false">B9*Assumptions!$B$12</f>
        <v>7500</v>
      </c>
      <c r="C11" s="11" t="n">
        <f aca="false">C9*Assumptions!$B$12</f>
        <v>15000</v>
      </c>
      <c r="D11" s="11" t="n">
        <f aca="false">D9*Assumptions!$B$12</f>
        <v>15000</v>
      </c>
      <c r="E11" s="11" t="n">
        <f aca="false">E9*Assumptions!$B$12</f>
        <v>22500</v>
      </c>
    </row>
    <row r="12" customFormat="false" ht="15" hidden="false" customHeight="true" outlineLevel="0" collapsed="false">
      <c r="A12" s="10" t="s">
        <v>92</v>
      </c>
      <c r="B12" s="11" t="n">
        <f aca="false">B9*(1-Assumptions!$B$12)</f>
        <v>7500</v>
      </c>
      <c r="C12" s="11" t="n">
        <f aca="false">C9*(1-Assumptions!$B$12)</f>
        <v>15000</v>
      </c>
      <c r="D12" s="11" t="n">
        <f aca="false">D9*(1-Assumptions!$B$12)</f>
        <v>15000</v>
      </c>
      <c r="E12" s="11" t="n">
        <f aca="false">E9*(1-Assumptions!$B$12)</f>
        <v>22500</v>
      </c>
    </row>
    <row r="13" customFormat="false" ht="15" hidden="false" customHeight="true" outlineLevel="0" collapsed="false">
      <c r="A13" s="10" t="s">
        <v>93</v>
      </c>
      <c r="B13" s="11" t="n">
        <f aca="false">IF(B11=0,0,B11/Assumptions!$B$17*Assumptions!$B$16)</f>
        <v>60</v>
      </c>
      <c r="C13" s="11" t="n">
        <f aca="false">IF(C11=0,0,C11/Assumptions!$B$17*Assumptions!$B$16)</f>
        <v>120</v>
      </c>
      <c r="D13" s="11" t="n">
        <f aca="false">IF(D11=0,0,D11/Assumptions!$B$17*Assumptions!$B$16)</f>
        <v>120</v>
      </c>
      <c r="E13" s="11" t="n">
        <f aca="false">IF(E11=0,0,E11/Assumptions!$B$17*Assumptions!$B$16)</f>
        <v>180</v>
      </c>
    </row>
    <row r="14" customFormat="false" ht="15" hidden="false" customHeight="true" outlineLevel="0" collapsed="false">
      <c r="A14" s="10" t="s">
        <v>94</v>
      </c>
      <c r="B14" s="11" t="n">
        <f aca="false">Assumptions!$B$18+Assumptions!$B$19+Assumptions!$B$20</f>
        <v>5000</v>
      </c>
      <c r="C14" s="11" t="n">
        <f aca="false">Assumptions!$B$18+Assumptions!$B$19+Assumptions!$B$20</f>
        <v>5000</v>
      </c>
      <c r="D14" s="11" t="n">
        <f aca="false">Assumptions!$B$18+Assumptions!$B$19+Assumptions!$B$20</f>
        <v>5000</v>
      </c>
      <c r="E14" s="11" t="n">
        <f aca="false">Assumptions!$B$18+Assumptions!$B$19+Assumptions!$B$20</f>
        <v>5000</v>
      </c>
    </row>
    <row r="15" customFormat="false" ht="15" hidden="false" customHeight="true" outlineLevel="0" collapsed="false">
      <c r="A15" s="10" t="s">
        <v>95</v>
      </c>
      <c r="B15" s="11" t="n">
        <f aca="false">B12-B13-B14</f>
        <v>2440</v>
      </c>
      <c r="C15" s="11" t="n">
        <f aca="false">C12-C13-C14</f>
        <v>9880</v>
      </c>
      <c r="D15" s="11" t="n">
        <f aca="false">D12-D13-D14</f>
        <v>9880</v>
      </c>
      <c r="E15" s="11" t="n">
        <f aca="false">E12-E13-E14</f>
        <v>17320</v>
      </c>
    </row>
    <row r="16" customFormat="false" ht="15" hidden="false" customHeight="true" outlineLevel="0" collapsed="false">
      <c r="A16" s="10" t="s">
        <v>96</v>
      </c>
      <c r="B16" s="11" t="n">
        <f aca="false">B15</f>
        <v>2440</v>
      </c>
      <c r="C16" s="11" t="n">
        <f aca="false">B16+C15</f>
        <v>12320</v>
      </c>
      <c r="D16" s="11" t="n">
        <f aca="false">C16+D15</f>
        <v>22200</v>
      </c>
      <c r="E16" s="11" t="n">
        <f aca="false">D16+E15</f>
        <v>39520</v>
      </c>
    </row>
    <row r="17" customFormat="false" ht="15" hidden="false" customHeight="true" outlineLevel="0" collapsed="false">
      <c r="A17" s="10" t="s">
        <v>97</v>
      </c>
      <c r="B17" s="11" t="n">
        <f aca="false">Assumptions!$B$21+B15</f>
        <v>102440</v>
      </c>
      <c r="C17" s="11" t="n">
        <f aca="false">B17+C15</f>
        <v>112320</v>
      </c>
      <c r="D17" s="11" t="n">
        <f aca="false">C17+D15</f>
        <v>122200</v>
      </c>
      <c r="E17" s="11" t="n">
        <f aca="false">D17+E15</f>
        <v>139520</v>
      </c>
    </row>
    <row r="18" customFormat="false" ht="15" hidden="false" customHeight="true" outlineLevel="0" collapsed="false">
      <c r="A18" s="10" t="s">
        <v>98</v>
      </c>
      <c r="B18" s="11" t="n">
        <f aca="false">IF(B6=0,0,B11/B6)</f>
        <v>187.5</v>
      </c>
      <c r="C18" s="11" t="n">
        <f aca="false">IF(C6=0,0,C11/C6)</f>
        <v>150</v>
      </c>
      <c r="D18" s="11" t="n">
        <f aca="false">IF(D6=0,0,D11/D6)</f>
        <v>93.75</v>
      </c>
      <c r="E18" s="11" t="n">
        <f aca="false">IF(E6=0,0,E11/E6)</f>
        <v>112.5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26"/>
  </cols>
  <sheetData>
    <row r="1" customFormat="false" ht="15.75" hidden="false" customHeight="true" outlineLevel="0" collapsed="false">
      <c r="A1" s="9" t="s">
        <v>99</v>
      </c>
    </row>
    <row r="3" customFormat="false" ht="15" hidden="false" customHeight="true" outlineLevel="0" collapsed="false">
      <c r="A3" s="4" t="s">
        <v>100</v>
      </c>
      <c r="B3" s="4" t="s">
        <v>101</v>
      </c>
      <c r="C3" s="4" t="s">
        <v>102</v>
      </c>
    </row>
    <row r="4" customFormat="false" ht="15" hidden="false" customHeight="true" outlineLevel="0" collapsed="false">
      <c r="A4" s="1" t="s">
        <v>103</v>
      </c>
      <c r="B4" s="15" t="n">
        <v>1000</v>
      </c>
      <c r="C4" s="1" t="s">
        <v>104</v>
      </c>
    </row>
    <row r="5" customFormat="false" ht="15" hidden="false" customHeight="true" outlineLevel="0" collapsed="false">
      <c r="A5" s="1" t="s">
        <v>105</v>
      </c>
      <c r="B5" s="15" t="n">
        <v>0</v>
      </c>
      <c r="C5" s="1" t="s">
        <v>106</v>
      </c>
    </row>
    <row r="6" customFormat="false" ht="15" hidden="false" customHeight="true" outlineLevel="0" collapsed="false">
      <c r="A6" s="1" t="s">
        <v>107</v>
      </c>
      <c r="B6" s="15" t="n">
        <v>1000</v>
      </c>
      <c r="C6" s="1" t="s">
        <v>108</v>
      </c>
    </row>
    <row r="7" customFormat="false" ht="15" hidden="false" customHeight="true" outlineLevel="0" collapsed="false">
      <c r="A7" s="1" t="s">
        <v>109</v>
      </c>
      <c r="B7" s="15" t="n">
        <v>0</v>
      </c>
      <c r="C7" s="1" t="s">
        <v>110</v>
      </c>
    </row>
    <row r="8" customFormat="false" ht="15" hidden="false" customHeight="true" outlineLevel="0" collapsed="false">
      <c r="A8" s="1" t="s">
        <v>111</v>
      </c>
      <c r="B8" s="15" t="n">
        <v>0</v>
      </c>
      <c r="C8" s="1" t="s">
        <v>112</v>
      </c>
    </row>
    <row r="9" customFormat="false" ht="15" hidden="false" customHeight="true" outlineLevel="0" collapsed="false">
      <c r="A9" s="1" t="s">
        <v>113</v>
      </c>
      <c r="B9" s="15" t="n">
        <v>3000</v>
      </c>
      <c r="C9" s="1" t="s">
        <v>114</v>
      </c>
    </row>
    <row r="10" customFormat="false" ht="15" hidden="false" customHeight="true" outlineLevel="0" collapsed="false">
      <c r="A10" s="10" t="s">
        <v>115</v>
      </c>
      <c r="B10" s="16" t="n">
        <f aca="false">SUM(B4:B9)</f>
        <v>5000</v>
      </c>
    </row>
    <row r="11" customFormat="false" ht="15" hidden="false" customHeight="true" outlineLevel="0" collapsed="false">
      <c r="A11" s="10" t="s">
        <v>116</v>
      </c>
      <c r="B11" s="16" t="n">
        <f aca="false">Assumptions!$B$21-B10</f>
        <v>95000</v>
      </c>
    </row>
    <row r="13" customFormat="false" ht="15" hidden="false" customHeight="true" outlineLevel="0" collapsed="false">
      <c r="A13" s="14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2"/>
    <col collapsed="false" customWidth="true" hidden="false" outlineLevel="0" max="3" min="3" style="1" width="64"/>
  </cols>
  <sheetData>
    <row r="1" customFormat="false" ht="15.75" hidden="false" customHeight="true" outlineLevel="0" collapsed="false">
      <c r="A1" s="9" t="s">
        <v>118</v>
      </c>
    </row>
    <row r="3" customFormat="false" ht="15" hidden="false" customHeight="true" outlineLevel="0" collapsed="false">
      <c r="A3" s="4" t="s">
        <v>100</v>
      </c>
      <c r="B3" s="4" t="s">
        <v>119</v>
      </c>
      <c r="C3" s="4" t="s">
        <v>120</v>
      </c>
    </row>
    <row r="4" customFormat="false" ht="15" hidden="false" customHeight="true" outlineLevel="0" collapsed="false">
      <c r="A4" s="10" t="s">
        <v>121</v>
      </c>
      <c r="B4" s="17" t="s">
        <v>122</v>
      </c>
      <c r="C4" s="17" t="s">
        <v>123</v>
      </c>
    </row>
    <row r="5" customFormat="false" ht="15" hidden="false" customHeight="true" outlineLevel="0" collapsed="false">
      <c r="A5" s="10" t="s">
        <v>124</v>
      </c>
      <c r="B5" s="17" t="s">
        <v>125</v>
      </c>
      <c r="C5" s="17" t="s">
        <v>126</v>
      </c>
    </row>
    <row r="6" customFormat="false" ht="15" hidden="false" customHeight="true" outlineLevel="0" collapsed="false">
      <c r="A6" s="10" t="s">
        <v>127</v>
      </c>
      <c r="B6" s="17" t="s">
        <v>128</v>
      </c>
      <c r="C6" s="17" t="s">
        <v>129</v>
      </c>
    </row>
    <row r="7" customFormat="false" ht="15" hidden="false" customHeight="true" outlineLevel="0" collapsed="false">
      <c r="A7" s="10" t="s">
        <v>130</v>
      </c>
      <c r="B7" s="17" t="s">
        <v>131</v>
      </c>
      <c r="C7" s="17" t="s">
        <v>132</v>
      </c>
    </row>
    <row r="8" customFormat="false" ht="15" hidden="false" customHeight="true" outlineLevel="0" collapsed="false">
      <c r="A8" s="10" t="s">
        <v>133</v>
      </c>
      <c r="B8" s="17" t="s">
        <v>134</v>
      </c>
      <c r="C8" s="17" t="s">
        <v>135</v>
      </c>
    </row>
    <row r="9" customFormat="false" ht="15" hidden="false" customHeight="true" outlineLevel="0" collapsed="false">
      <c r="A9" s="10" t="s">
        <v>136</v>
      </c>
      <c r="B9" s="17" t="s">
        <v>137</v>
      </c>
      <c r="C9" s="17" t="s">
        <v>138</v>
      </c>
    </row>
    <row r="11" customFormat="false" ht="15" hidden="false" customHeight="false" outlineLevel="0" collapsed="false">
      <c r="A11" s="6" t="s">
        <v>139</v>
      </c>
    </row>
    <row r="12" customFormat="false" ht="15" hidden="false" customHeight="false" outlineLevel="0" collapsed="false">
      <c r="A12" s="6" t="s">
        <v>140</v>
      </c>
      <c r="B12" s="18" t="s">
        <v>141</v>
      </c>
      <c r="C12" s="18" t="s">
        <v>142</v>
      </c>
    </row>
    <row r="13" customFormat="false" ht="15" hidden="false" customHeight="false" outlineLevel="0" collapsed="false">
      <c r="A13" s="6" t="s">
        <v>143</v>
      </c>
      <c r="B13" s="18" t="s">
        <v>144</v>
      </c>
      <c r="C13" s="18" t="s">
        <v>145</v>
      </c>
    </row>
    <row r="14" customFormat="false" ht="15" hidden="false" customHeight="false" outlineLevel="0" collapsed="false">
      <c r="A14" s="6" t="s">
        <v>146</v>
      </c>
      <c r="B14" s="18" t="s">
        <v>147</v>
      </c>
      <c r="C14" s="18" t="s">
        <v>148</v>
      </c>
    </row>
    <row r="15" customFormat="false" ht="15" hidden="false" customHeight="false" outlineLevel="0" collapsed="false">
      <c r="A15" s="6" t="s">
        <v>149</v>
      </c>
      <c r="B15" s="18" t="s">
        <v>150</v>
      </c>
      <c r="C15" s="18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40"/>
  </cols>
  <sheetData>
    <row r="1" customFormat="false" ht="15.75" hidden="false" customHeight="true" outlineLevel="0" collapsed="false">
      <c r="A1" s="9" t="s">
        <v>152</v>
      </c>
    </row>
    <row r="3" customFormat="false" ht="15" hidden="false" customHeight="true" outlineLevel="0" collapsed="false">
      <c r="A3" s="4" t="s">
        <v>153</v>
      </c>
      <c r="B3" s="4" t="s">
        <v>3</v>
      </c>
      <c r="C3" s="4" t="s">
        <v>154</v>
      </c>
      <c r="D3" s="4" t="s">
        <v>155</v>
      </c>
    </row>
    <row r="4" customFormat="false" ht="15" hidden="false" customHeight="true" outlineLevel="0" collapsed="false">
      <c r="A4" s="17" t="s">
        <v>156</v>
      </c>
      <c r="B4" s="17" t="s">
        <v>157</v>
      </c>
      <c r="C4" s="17" t="s">
        <v>158</v>
      </c>
      <c r="D4" s="17" t="s">
        <v>159</v>
      </c>
    </row>
    <row r="5" customFormat="false" ht="15" hidden="false" customHeight="true" outlineLevel="0" collapsed="false">
      <c r="A5" s="17" t="s">
        <v>160</v>
      </c>
      <c r="B5" s="17" t="s">
        <v>161</v>
      </c>
      <c r="C5" s="17" t="s">
        <v>162</v>
      </c>
      <c r="D5" s="17" t="s">
        <v>163</v>
      </c>
    </row>
    <row r="6" customFormat="false" ht="15" hidden="false" customHeight="true" outlineLevel="0" collapsed="false">
      <c r="A6" s="17" t="s">
        <v>164</v>
      </c>
      <c r="B6" s="17" t="s">
        <v>165</v>
      </c>
      <c r="C6" s="17" t="s">
        <v>158</v>
      </c>
      <c r="D6" s="17" t="s">
        <v>166</v>
      </c>
    </row>
    <row r="7" customFormat="false" ht="15" hidden="false" customHeight="true" outlineLevel="0" collapsed="false">
      <c r="A7" s="17" t="s">
        <v>167</v>
      </c>
      <c r="B7" s="17" t="s">
        <v>168</v>
      </c>
      <c r="C7" s="17" t="s">
        <v>169</v>
      </c>
      <c r="D7" s="17" t="s">
        <v>170</v>
      </c>
    </row>
    <row r="8" customFormat="false" ht="15" hidden="false" customHeight="true" outlineLevel="0" collapsed="false">
      <c r="A8" s="17" t="s">
        <v>171</v>
      </c>
      <c r="B8" s="17" t="s">
        <v>172</v>
      </c>
      <c r="C8" s="17" t="s">
        <v>173</v>
      </c>
      <c r="D8" s="17" t="s">
        <v>174</v>
      </c>
    </row>
    <row r="9" customFormat="false" ht="15" hidden="false" customHeight="true" outlineLevel="0" collapsed="false">
      <c r="A9" s="17" t="s">
        <v>175</v>
      </c>
      <c r="B9" s="17" t="s">
        <v>176</v>
      </c>
      <c r="C9" s="17" t="s">
        <v>158</v>
      </c>
      <c r="D9" s="17" t="s">
        <v>177</v>
      </c>
    </row>
    <row r="10" customFormat="false" ht="15" hidden="false" customHeight="true" outlineLevel="0" collapsed="false">
      <c r="A10" s="17" t="s">
        <v>178</v>
      </c>
      <c r="B10" s="17" t="s">
        <v>179</v>
      </c>
      <c r="C10" s="17" t="s">
        <v>158</v>
      </c>
      <c r="D10" s="17" t="s">
        <v>180</v>
      </c>
    </row>
    <row r="11" customFormat="false" ht="15" hidden="false" customHeight="true" outlineLevel="0" collapsed="false">
      <c r="A11" s="17" t="s">
        <v>181</v>
      </c>
      <c r="B11" s="17" t="s">
        <v>182</v>
      </c>
      <c r="C11" s="17" t="s">
        <v>183</v>
      </c>
      <c r="D11" s="17" t="s">
        <v>184</v>
      </c>
    </row>
    <row r="12" customFormat="false" ht="15" hidden="false" customHeight="true" outlineLevel="0" collapsed="false">
      <c r="A12" s="17" t="s">
        <v>185</v>
      </c>
      <c r="B12" s="17" t="s">
        <v>186</v>
      </c>
      <c r="C12" s="17" t="s">
        <v>158</v>
      </c>
      <c r="D12" s="17" t="s">
        <v>187</v>
      </c>
    </row>
    <row r="13" customFormat="false" ht="15" hidden="false" customHeight="true" outlineLevel="0" collapsed="false">
      <c r="A13" s="17" t="s">
        <v>188</v>
      </c>
      <c r="B13" s="17" t="s">
        <v>189</v>
      </c>
      <c r="C13" s="17" t="s">
        <v>158</v>
      </c>
      <c r="D13" s="17" t="s">
        <v>190</v>
      </c>
    </row>
    <row r="14" customFormat="false" ht="15" hidden="false" customHeight="true" outlineLevel="0" collapsed="false">
      <c r="A14" s="17" t="s">
        <v>191</v>
      </c>
      <c r="B14" s="17" t="s">
        <v>192</v>
      </c>
      <c r="C14" s="17" t="s">
        <v>193</v>
      </c>
      <c r="D14" s="17" t="s">
        <v>194</v>
      </c>
    </row>
    <row r="15" customFormat="false" ht="15" hidden="false" customHeight="false" outlineLevel="0" collapsed="false">
      <c r="A15" s="18" t="s">
        <v>195</v>
      </c>
      <c r="B15" s="18" t="s">
        <v>196</v>
      </c>
      <c r="C15" s="18" t="s">
        <v>197</v>
      </c>
      <c r="D15" s="18" t="s">
        <v>198</v>
      </c>
    </row>
    <row r="16" customFormat="false" ht="15" hidden="false" customHeight="false" outlineLevel="0" collapsed="false">
      <c r="A16" s="18" t="s">
        <v>199</v>
      </c>
      <c r="B16" s="18" t="s">
        <v>200</v>
      </c>
      <c r="C16" s="18" t="s">
        <v>173</v>
      </c>
      <c r="D16" s="18" t="s">
        <v>201</v>
      </c>
    </row>
    <row r="17" customFormat="false" ht="15" hidden="false" customHeight="false" outlineLevel="0" collapsed="false">
      <c r="A17" s="18" t="s">
        <v>202</v>
      </c>
      <c r="B17" s="18" t="s">
        <v>203</v>
      </c>
      <c r="C17" s="18" t="s">
        <v>158</v>
      </c>
      <c r="D17" s="18" t="s">
        <v>204</v>
      </c>
    </row>
    <row r="18" customFormat="false" ht="15" hidden="false" customHeight="false" outlineLevel="0" collapsed="false">
      <c r="A18" s="18" t="s">
        <v>205</v>
      </c>
      <c r="B18" s="18" t="s">
        <v>206</v>
      </c>
      <c r="C18" s="18" t="s">
        <v>207</v>
      </c>
      <c r="D18" s="18" t="s">
        <v>208</v>
      </c>
    </row>
    <row r="19" customFormat="false" ht="15" hidden="false" customHeight="false" outlineLevel="0" collapsed="false">
      <c r="A19" s="18" t="s">
        <v>209</v>
      </c>
      <c r="B19" s="18" t="s">
        <v>210</v>
      </c>
      <c r="C19" s="18" t="s">
        <v>173</v>
      </c>
      <c r="D19" s="18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19" t="s">
        <v>212</v>
      </c>
    </row>
    <row r="2" customFormat="false" ht="15" hidden="false" customHeight="false" outlineLevel="0" collapsed="false">
      <c r="A2" s="8" t="s">
        <v>213</v>
      </c>
    </row>
    <row r="4" customFormat="false" ht="15" hidden="false" customHeight="false" outlineLevel="0" collapsed="false">
      <c r="A4" s="20" t="s">
        <v>70</v>
      </c>
      <c r="B4" s="20" t="s">
        <v>3</v>
      </c>
    </row>
    <row r="5" customFormat="false" ht="15" hidden="false" customHeight="false" outlineLevel="0" collapsed="false">
      <c r="A5" s="6" t="s">
        <v>214</v>
      </c>
      <c r="B5" s="21" t="n">
        <f aca="false">Assumptions!$B$13</f>
        <v>200</v>
      </c>
    </row>
    <row r="6" customFormat="false" ht="15" hidden="false" customHeight="false" outlineLevel="0" collapsed="false">
      <c r="A6" s="22" t="s">
        <v>215</v>
      </c>
      <c r="B6" s="21" t="n">
        <f aca="false">B5*(1-Assumptions!$B$24)</f>
        <v>160</v>
      </c>
    </row>
    <row r="7" customFormat="false" ht="15" hidden="false" customHeight="false" outlineLevel="0" collapsed="false">
      <c r="A7" s="22" t="s">
        <v>216</v>
      </c>
      <c r="B7" s="21" t="n">
        <f aca="false">B5*Assumptions!$B$24</f>
        <v>40</v>
      </c>
    </row>
    <row r="8" customFormat="false" ht="15" hidden="false" customHeight="false" outlineLevel="0" collapsed="false">
      <c r="A8" s="6" t="s">
        <v>217</v>
      </c>
      <c r="B8" s="21" t="n">
        <f aca="false">(3600*Assumptions!$B$7/Assumptions!$B$8*Assumptions!$B$6*Assumptions!$B$9)</f>
        <v>19008</v>
      </c>
    </row>
    <row r="9" customFormat="false" ht="15" hidden="false" customHeight="false" outlineLevel="0" collapsed="false">
      <c r="A9" s="6" t="s">
        <v>218</v>
      </c>
      <c r="B9" s="21" t="n">
        <f aca="false">B6*B8/1000*Assumptions!$B$10*Assumptions!$B$11</f>
        <v>86676.48</v>
      </c>
    </row>
    <row r="10" customFormat="false" ht="15" hidden="false" customHeight="false" outlineLevel="0" collapsed="false">
      <c r="A10" s="6" t="s">
        <v>219</v>
      </c>
      <c r="B10" s="21" t="n">
        <f aca="false">B7*B8/1000*Assumptions!$B$25*Assumptions!$B$11</f>
        <v>107661.312</v>
      </c>
    </row>
    <row r="11" customFormat="false" ht="15" hidden="false" customHeight="false" outlineLevel="0" collapsed="false">
      <c r="A11" s="6" t="s">
        <v>220</v>
      </c>
      <c r="B11" s="21" t="n">
        <f aca="false">B9+B10</f>
        <v>194337.792</v>
      </c>
    </row>
    <row r="12" customFormat="false" ht="15" hidden="false" customHeight="false" outlineLevel="0" collapsed="false">
      <c r="A12" s="6" t="s">
        <v>221</v>
      </c>
      <c r="B12" s="21" t="n">
        <f aca="false">B5*B8/1000*Assumptions!$B$10*Assumptions!$B$11</f>
        <v>108345.6</v>
      </c>
    </row>
    <row r="13" customFormat="false" ht="15" hidden="false" customHeight="false" outlineLevel="0" collapsed="false">
      <c r="A13" s="6" t="s">
        <v>222</v>
      </c>
      <c r="B13" s="23" t="n">
        <f aca="false">B11/B12</f>
        <v>1.79368421052632</v>
      </c>
    </row>
    <row r="14" customFormat="false" ht="15" hidden="false" customHeight="false" outlineLevel="0" collapsed="false">
      <c r="A14" s="6" t="s">
        <v>223</v>
      </c>
      <c r="B14" s="21" t="n">
        <f aca="false">B11/((B5*B8)/1000)</f>
        <v>51.12</v>
      </c>
    </row>
    <row r="15" customFormat="false" ht="15" hidden="false" customHeight="false" outlineLevel="0" collapsed="false">
      <c r="A15" s="6" t="s">
        <v>224</v>
      </c>
      <c r="B15" s="21" t="n">
        <f aca="false">B11*Assumptions!$B$12</f>
        <v>97168.896</v>
      </c>
    </row>
    <row r="16" customFormat="false" ht="15" hidden="false" customHeight="false" outlineLevel="0" collapsed="false">
      <c r="A16" s="22" t="s">
        <v>225</v>
      </c>
      <c r="B16" s="21" t="n">
        <f aca="false">B10*Assumptions!$B$12*Assumptions!$B$26</f>
        <v>2153.22624</v>
      </c>
    </row>
    <row r="17" customFormat="false" ht="15" hidden="false" customHeight="false" outlineLevel="0" collapsed="false">
      <c r="A17" s="6" t="s">
        <v>226</v>
      </c>
      <c r="B17" s="21" t="n">
        <f aca="false">B11*(1-Assumptions!$B$12)-B16</f>
        <v>95015.66976</v>
      </c>
    </row>
    <row r="19" customFormat="false" ht="15" hidden="false" customHeight="false" outlineLevel="0" collapsed="false">
      <c r="A19" s="24" t="s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2026-06-26T17:40:41Z</dcterms:created>
  <dc:creator>openpyxl</dc:creator>
  <dc:description/>
  <dc:language>en-US</dc:language>
  <cp:lastModifiedBy/>
  <dcterms:modified xsi:type="dcterms:W3CDTF">2026-06-26T18:07:46Z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