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Reality_Check_CPM" sheetId="2" state="visible" r:id="rId4"/>
    <sheet name="Plan_4mo_FlatDeals" sheetId="3" state="visible" r:id="rId5"/>
    <sheet name="14day_Sprint_Budget" sheetId="4" state="visible" r:id="rId6"/>
    <sheet name="Compliance_CA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<sst xmlns="http://schemas.openxmlformats.org/spreadsheetml/2006/main" count="163" uniqueCount="153">
  <si>
    <t xml:space="preserve">Devorix — REALISTIC Financial Model</t>
  </si>
  <si>
    <t xml:space="preserve">Grounded in verified data (June 2026). Blue=input. All figures tagged in Sources sheet. Constraints: &lt;=500 users in 4 mo, &lt;=Rs1L budget, 1-2 advertisers in 14 days.</t>
  </si>
  <si>
    <t xml:space="preserve">Parameter</t>
  </si>
  <si>
    <t xml:space="preserve">Value</t>
  </si>
  <si>
    <t xml:space="preserve">Note / Source</t>
  </si>
  <si>
    <t xml:space="preserve">USD -&gt; INR</t>
  </si>
  <si>
    <t xml:space="preserve">VERIFIED spot Jun 2026 (exchange-rates.org)</t>
  </si>
  <si>
    <t xml:space="preserve">Installs (end of month 4, cap)</t>
  </si>
  <si>
    <t xml:space="preserve">Founder constraint</t>
  </si>
  <si>
    <t xml:space="preserve">Weekly-active rate</t>
  </si>
  <si>
    <t xml:space="preserve">assumption (ad-averse devs; many install, few keep)</t>
  </si>
  <si>
    <t xml:space="preserve">Impressions / active dev / day</t>
  </si>
  <si>
    <t xml:space="preserve">~20 prompts/hr x 4 hrs (assumption)</t>
  </si>
  <si>
    <t xml:space="preserve">Active days / month</t>
  </si>
  <si>
    <t xml:space="preserve">assumption</t>
  </si>
  <si>
    <t xml:space="preserve">Realistic GROSS eCPM (USD)</t>
  </si>
  <si>
    <t xml:space="preserve">VERIFIED real range $0.27-$11; steady-state ~$0.27. Use $0.5-$2.</t>
  </si>
  <si>
    <t xml:space="preserve">Dev revenue share</t>
  </si>
  <si>
    <t xml:space="preserve">Kickbacks 50% / IdleAds 70%; decided 50%</t>
  </si>
  <si>
    <t xml:space="preserve">Flat sponsorship fee / advertiser / mo (Rs)</t>
  </si>
  <si>
    <t xml:space="preserve">PLAN: direct deal, not CPM. Pilot-level (assumption)</t>
  </si>
  <si>
    <t xml:space="preserve">Payout cost / txn (Rs)</t>
  </si>
  <si>
    <t xml:space="preserve">RazorpayX UPI Rs2-5 +GST (verified)</t>
  </si>
  <si>
    <t xml:space="preserve">Payout threshold (Rs)</t>
  </si>
  <si>
    <t xml:space="preserve">accrue+batch</t>
  </si>
  <si>
    <t xml:space="preserve">Infra + Gemini API / mo (Rs)</t>
  </si>
  <si>
    <t xml:space="preserve">Vercel/Render + Gemini for AI tools (assumption)</t>
  </si>
  <si>
    <t xml:space="preserve">Misc / mo (Rs)</t>
  </si>
  <si>
    <t xml:space="preserve">domain, tools (assumption)</t>
  </si>
  <si>
    <t xml:space="preserve">Founder salary / mo (Rs)</t>
  </si>
  <si>
    <t xml:space="preserve">solo, sweat equity = low burn</t>
  </si>
  <si>
    <t xml:space="preserve">Total cash available (Rs)</t>
  </si>
  <si>
    <t xml:space="preserve">Reality check: programmatic CPM at 500 users earns almost nothing</t>
  </si>
  <si>
    <t xml:space="preserve">This proves WHY the plan uses flat advertiser deals, not CPM, at small scale.</t>
  </si>
  <si>
    <t xml:space="preserve">Metric</t>
  </si>
  <si>
    <t xml:space="preserve">Installs</t>
  </si>
  <si>
    <t xml:space="preserve">Active devs (installs x WAU)</t>
  </si>
  <si>
    <t xml:space="preserve">Impressions / mo</t>
  </si>
  <si>
    <t xml:space="preserve">Gross / mo @100% fill (Rs)</t>
  </si>
  <si>
    <t xml:space="preserve">Gross / mo @15% realistic fill (Rs)</t>
  </si>
  <si>
    <t xml:space="preserve">Dev share of realistic (Rs)</t>
  </si>
  <si>
    <t xml:space="preserve">Per active dev / mo (Rs)</t>
  </si>
  <si>
    <t xml:space="preserve">Takeaway: at 500 users, CPM yields a few hundred rupees/month total. Unviable. -&gt; sell flat sponsorships.</t>
  </si>
  <si>
    <t xml:space="preserve">4-Month Plan — flat sponsorship deals (the realistic path)</t>
  </si>
  <si>
    <t xml:space="preserve">Month 1</t>
  </si>
  <si>
    <t xml:space="preserve">Month 2</t>
  </si>
  <si>
    <t xml:space="preserve">Month 3</t>
  </si>
  <si>
    <t xml:space="preserve">Month 4</t>
  </si>
  <si>
    <t xml:space="preserve">Installs (cumulative)</t>
  </si>
  <si>
    <t xml:space="preserve">Active devs</t>
  </si>
  <si>
    <t xml:space="preserve"># Advertisers (flat deals)</t>
  </si>
  <si>
    <t xml:space="preserve">Gross revenue (Rs)</t>
  </si>
  <si>
    <t xml:space="preserve">Dev payout pool (Rs)</t>
  </si>
  <si>
    <t xml:space="preserve">Platform margin (Rs)</t>
  </si>
  <si>
    <t xml:space="preserve">Payout txn cost (Rs)</t>
  </si>
  <si>
    <t xml:space="preserve">Infra+Gemini (Rs)</t>
  </si>
  <si>
    <t xml:space="preserve">Misc (Rs)</t>
  </si>
  <si>
    <t xml:space="preserve">Founder salary (Rs)</t>
  </si>
  <si>
    <t xml:space="preserve">Total costs (Rs)</t>
  </si>
  <si>
    <t xml:space="preserve">Net profit (Rs)</t>
  </si>
  <si>
    <t xml:space="preserve">Cumulative net (Rs)</t>
  </si>
  <si>
    <t xml:space="preserve">Cash remaining (Rs)</t>
  </si>
  <si>
    <t xml:space="preserve">Per-active-dev payout (Rs)</t>
  </si>
  <si>
    <t xml:space="preserve">14-Day Sprint — budget &amp; targets</t>
  </si>
  <si>
    <t xml:space="preserve">Item</t>
  </si>
  <si>
    <t xml:space="preserve">Cost (Rs)</t>
  </si>
  <si>
    <t xml:space="preserve">Note</t>
  </si>
  <si>
    <t xml:space="preserve">Domain (devorix.ai)</t>
  </si>
  <si>
    <t xml:space="preserve">1 yr</t>
  </si>
  <si>
    <t xml:space="preserve">Hosting (free tier to start)</t>
  </si>
  <si>
    <t xml:space="preserve">Vercel/Render free</t>
  </si>
  <si>
    <t xml:space="preserve">Gemini API (AI tools, test)</t>
  </si>
  <si>
    <t xml:space="preserve">pay-as-you-go, tiny</t>
  </si>
  <si>
    <t xml:space="preserve">RazorpayX account</t>
  </si>
  <si>
    <t xml:space="preserve">free to open; sandbox first</t>
  </si>
  <si>
    <t xml:space="preserve">Logo/landing polish (DIY)</t>
  </si>
  <si>
    <t xml:space="preserve">use the AI Studio prototype</t>
  </si>
  <si>
    <t xml:space="preserve">Buffer</t>
  </si>
  <si>
    <t xml:space="preserve">misc</t>
  </si>
  <si>
    <t xml:space="preserve">TOTAL 14-day spend</t>
  </si>
  <si>
    <t xml:space="preserve">Cash left after sprint (of Rs1L)</t>
  </si>
  <si>
    <t xml:space="preserve">TARGETS (14 days): 1-2 advertisers on a 1-month paid pilot (Rs10-15k each); 50-100 installs; loop working end-to-end.</t>
  </si>
  <si>
    <t xml:space="preserve">Compliance reality (CA-grade) — stay lean now</t>
  </si>
  <si>
    <t xml:space="preserve">Now (&lt;500 users)</t>
  </si>
  <si>
    <t xml:space="preserve">When it triggers / note</t>
  </si>
  <si>
    <t xml:space="preserve">Legal entity</t>
  </si>
  <si>
    <t xml:space="preserve">Proprietorship (no incorp.)</t>
  </si>
  <si>
    <t xml:space="preserve">Pvt Ltd later: ~Rs20k setup + Rs40-70k/yr. Defer until revenue proven.</t>
  </si>
  <si>
    <t xml:space="preserve">GST registration</t>
  </si>
  <si>
    <t xml:space="preserve">Not required</t>
  </si>
  <si>
    <t xml:space="preserve">Mandatory only above Rs20L/yr turnover (services). BUT advertisers may want a GST invoice for input credit -&gt; may cost B2B deals; weigh per deal.</t>
  </si>
  <si>
    <t xml:space="preserve">GST rate on ad revenue</t>
  </si>
  <si>
    <t xml:space="preserve">n/a yet</t>
  </si>
  <si>
    <t xml:space="preserve">18% (SAC 998361) once registered</t>
  </si>
  <si>
    <t xml:space="preserve">TDS on dev payouts</t>
  </si>
  <si>
    <t xml:space="preserve">Effectively none</t>
  </si>
  <si>
    <t xml:space="preserve">194H 2% applies only &gt;Rs20k/yr per person; your per-dev ~Rs1-2k/yr is far below. 194-O 1% only &gt;Rs5L/yr. Collect PAN anyway.</t>
  </si>
  <si>
    <t xml:space="preserve">TDS YOU suffer (advertiser pays you)</t>
  </si>
  <si>
    <t xml:space="preserve">Maybe</t>
  </si>
  <si>
    <t xml:space="preserve">Advertiser (a business) may deduct 2% u/s 194C/194H on payments to you; claim as credit. Minor.</t>
  </si>
  <si>
    <t xml:space="preserve">Bank/payments</t>
  </si>
  <si>
    <t xml:space="preserve">Personal/current acct + RazorpayX</t>
  </si>
  <si>
    <t xml:space="preserve">UPI payouts Rs2-5+GST each; accrue to Rs500 threshold</t>
  </si>
  <si>
    <t xml:space="preserve">Annual compliance cost</t>
  </si>
  <si>
    <t xml:space="preserve">~Rs0-5k</t>
  </si>
  <si>
    <t xml:space="preserve">ITR only as proprietor. Big jump to Rs40-70k/yr ONLY after Pvt Ltd.</t>
  </si>
  <si>
    <t xml:space="preserve">Sources &amp; confidence (verified June 2026)</t>
  </si>
  <si>
    <t xml:space="preserve">Figure</t>
  </si>
  <si>
    <t xml:space="preserve">Confidence</t>
  </si>
  <si>
    <t xml:space="preserve">Source</t>
  </si>
  <si>
    <t xml:space="preserve">USD-INR</t>
  </si>
  <si>
    <t xml:space="preserve">94.5</t>
  </si>
  <si>
    <t xml:space="preserve">VERIFIED</t>
  </si>
  <si>
    <t xml:space="preserve">exchange-rates.org Jun 2026</t>
  </si>
  <si>
    <t xml:space="preserve">Real wait-state CPM</t>
  </si>
  <si>
    <t xml:space="preserve">$0.27-$11; steady ~$0.27</t>
  </si>
  <si>
    <t xml:space="preserve">VERIFIED (self-reports)</t>
  </si>
  <si>
    <t xml:space="preserve">HN tester $4.43/407; PH reviewer $0.43/1587</t>
  </si>
  <si>
    <t xml:space="preserve">Advertiser demand / revenue</t>
  </si>
  <si>
    <t xml:space="preserve">None proven</t>
  </si>
  <si>
    <t xml:space="preserve">VERIFIED gap</t>
  </si>
  <si>
    <t xml:space="preserve">No public revenue/advertisers for Kickbacks; house ads only at launch</t>
  </si>
  <si>
    <t xml:space="preserve">Dev sentiment</t>
  </si>
  <si>
    <t xml:space="preserve">Cold/skeptical</t>
  </si>
  <si>
    <t xml:space="preserve">Med-High</t>
  </si>
  <si>
    <t xml:space="preserve">Show HN 2pts/0 comments; privacy &amp; supply-chain objections dominant</t>
  </si>
  <si>
    <t xml:space="preserve">India dev display eCPM</t>
  </si>
  <si>
    <t xml:space="preserve">Rs64-130 ($0.7-1.4)</t>
  </si>
  <si>
    <t xml:space="preserve">ESTIMATE</t>
  </si>
  <si>
    <t xml:space="preserve">adcostly, apdigi (India tech niche)</t>
  </si>
  <si>
    <t xml:space="preserve">Pvt Ltd incorporation</t>
  </si>
  <si>
    <t xml:space="preserve">~Rs20k one-time</t>
  </si>
  <si>
    <t xml:space="preserve">prakashaandco, registerkaro 2026</t>
  </si>
  <si>
    <t xml:space="preserve">GST on ads</t>
  </si>
  <si>
    <t xml:space="preserve">18% (SAC 998361)</t>
  </si>
  <si>
    <t xml:space="preserve">busy.in / Razorpay</t>
  </si>
  <si>
    <t xml:space="preserve">GST threshold (services)</t>
  </si>
  <si>
    <t xml:space="preserve">Rs20L/yr</t>
  </si>
  <si>
    <t xml:space="preserve">CBIC</t>
  </si>
  <si>
    <t xml:space="preserve">TDS 194H / 194-O</t>
  </si>
  <si>
    <t xml:space="preserve">2% / 1%</t>
  </si>
  <si>
    <t xml:space="preserve">VERIFIED rates</t>
  </si>
  <si>
    <t xml:space="preserve">incometaxindia.gov.in; thresholds Rs20k / Rs5L</t>
  </si>
  <si>
    <t xml:space="preserve">Annual compliance (Pvt Ltd)</t>
  </si>
  <si>
    <t xml:space="preserve">Rs40-70k/yr lean</t>
  </si>
  <si>
    <t xml:space="preserve">virtualauditor, incorpx</t>
  </si>
  <si>
    <t xml:space="preserve">RazorpayX UPI payout</t>
  </si>
  <si>
    <t xml:space="preserve">Rs2-5 +GST</t>
  </si>
  <si>
    <t xml:space="preserve">razorpay docs</t>
  </si>
  <si>
    <t xml:space="preserve">Installs/CPM/WAU in model</t>
  </si>
  <si>
    <t xml:space="preserve">various</t>
  </si>
  <si>
    <t xml:space="preserve">ASSUMPTION</t>
  </si>
  <si>
    <t xml:space="preserve">founder constraints + our estimates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</si>
</sst>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3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0" t="s">
        <v>5</v>
      </c>
      <c r="B5" s="4" t="n">
        <f aca="false">94.5</f>
        <v>94.5</v>
      </c>
      <c r="C5" s="2" t="s">
        <v>6</v>
      </c>
    </row>
    <row r="6" customFormat="false" ht="15" hidden="false" customHeight="false" outlineLevel="0" collapsed="false">
      <c r="A6" s="0" t="s">
        <v>7</v>
      </c>
      <c r="B6" s="4" t="n">
        <f aca="false">500</f>
        <v>500</v>
      </c>
      <c r="C6" s="2" t="s">
        <v>8</v>
      </c>
    </row>
    <row r="7" customFormat="false" ht="15" hidden="false" customHeight="false" outlineLevel="0" collapsed="false">
      <c r="A7" s="0" t="s">
        <v>9</v>
      </c>
      <c r="B7" s="4" t="n">
        <f aca="false">0.4</f>
        <v>0.4</v>
      </c>
      <c r="C7" s="2" t="s">
        <v>10</v>
      </c>
    </row>
    <row r="8" customFormat="false" ht="15" hidden="false" customHeight="false" outlineLevel="0" collapsed="false">
      <c r="A8" s="0" t="s">
        <v>11</v>
      </c>
      <c r="B8" s="4" t="n">
        <f aca="false">80</f>
        <v>80</v>
      </c>
      <c r="C8" s="2" t="s">
        <v>12</v>
      </c>
    </row>
    <row r="9" customFormat="false" ht="15" hidden="false" customHeight="false" outlineLevel="0" collapsed="false">
      <c r="A9" s="0" t="s">
        <v>13</v>
      </c>
      <c r="B9" s="4" t="n">
        <f aca="false">22</f>
        <v>22</v>
      </c>
      <c r="C9" s="2" t="s">
        <v>14</v>
      </c>
    </row>
    <row r="10" customFormat="false" ht="15" hidden="false" customHeight="false" outlineLevel="0" collapsed="false">
      <c r="A10" s="0" t="s">
        <v>15</v>
      </c>
      <c r="B10" s="4" t="n">
        <f aca="false">1</f>
        <v>1</v>
      </c>
      <c r="C10" s="2" t="s">
        <v>16</v>
      </c>
    </row>
    <row r="11" customFormat="false" ht="15" hidden="false" customHeight="false" outlineLevel="0" collapsed="false">
      <c r="A11" s="0" t="s">
        <v>17</v>
      </c>
      <c r="B11" s="4" t="n">
        <f aca="false">0.5</f>
        <v>0.5</v>
      </c>
      <c r="C11" s="2" t="s">
        <v>18</v>
      </c>
    </row>
    <row r="12" customFormat="false" ht="15" hidden="false" customHeight="false" outlineLevel="0" collapsed="false">
      <c r="A12" s="0" t="s">
        <v>19</v>
      </c>
      <c r="B12" s="4" t="n">
        <f aca="false">15000</f>
        <v>15000</v>
      </c>
      <c r="C12" s="2" t="s">
        <v>20</v>
      </c>
    </row>
    <row r="13" customFormat="false" ht="15" hidden="false" customHeight="false" outlineLevel="0" collapsed="false">
      <c r="A13" s="0" t="s">
        <v>21</v>
      </c>
      <c r="B13" s="4" t="n">
        <f aca="false">4</f>
        <v>4</v>
      </c>
      <c r="C13" s="2" t="s">
        <v>22</v>
      </c>
    </row>
    <row r="14" customFormat="false" ht="15" hidden="false" customHeight="false" outlineLevel="0" collapsed="false">
      <c r="A14" s="0" t="s">
        <v>23</v>
      </c>
      <c r="B14" s="4" t="n">
        <f aca="false">500</f>
        <v>500</v>
      </c>
      <c r="C14" s="2" t="s">
        <v>24</v>
      </c>
    </row>
    <row r="15" customFormat="false" ht="15" hidden="false" customHeight="false" outlineLevel="0" collapsed="false">
      <c r="A15" s="0" t="s">
        <v>25</v>
      </c>
      <c r="B15" s="4" t="n">
        <f aca="false">3000</f>
        <v>3000</v>
      </c>
      <c r="C15" s="2" t="s">
        <v>26</v>
      </c>
    </row>
    <row r="16" customFormat="false" ht="15" hidden="false" customHeight="false" outlineLevel="0" collapsed="false">
      <c r="A16" s="0" t="s">
        <v>27</v>
      </c>
      <c r="B16" s="4" t="n">
        <f aca="false">2000</f>
        <v>2000</v>
      </c>
      <c r="C16" s="2" t="s">
        <v>28</v>
      </c>
    </row>
    <row r="17" customFormat="false" ht="15" hidden="false" customHeight="false" outlineLevel="0" collapsed="false">
      <c r="A17" s="0" t="s">
        <v>29</v>
      </c>
      <c r="B17" s="4" t="n">
        <f aca="false">0</f>
        <v>0</v>
      </c>
      <c r="C17" s="2" t="s">
        <v>30</v>
      </c>
    </row>
    <row r="18" customFormat="false" ht="15" hidden="false" customHeight="false" outlineLevel="0" collapsed="false">
      <c r="A18" s="0" t="s">
        <v>31</v>
      </c>
      <c r="B18" s="4" t="n">
        <f aca="false">100000</f>
        <v>100000</v>
      </c>
      <c r="C18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5" t="s">
        <v>32</v>
      </c>
    </row>
    <row r="2" customFormat="false" ht="15" hidden="false" customHeight="false" outlineLevel="0" collapsed="false">
      <c r="A2" s="2" t="s">
        <v>33</v>
      </c>
    </row>
    <row r="4" customFormat="false" ht="15" hidden="false" customHeight="false" outlineLevel="0" collapsed="false">
      <c r="A4" s="3" t="s">
        <v>34</v>
      </c>
      <c r="B4" s="3" t="s">
        <v>3</v>
      </c>
    </row>
    <row r="5" customFormat="false" ht="15" hidden="false" customHeight="false" outlineLevel="0" collapsed="false">
      <c r="A5" s="0" t="s">
        <v>35</v>
      </c>
      <c r="B5" s="6" t="n">
        <v>500</v>
      </c>
    </row>
    <row r="6" customFormat="false" ht="15" hidden="false" customHeight="false" outlineLevel="0" collapsed="false">
      <c r="A6" s="0" t="s">
        <v>36</v>
      </c>
      <c r="B6" s="7" t="n">
        <f aca="false">B5*Assumptions!$B$7</f>
        <v>200</v>
      </c>
    </row>
    <row r="7" customFormat="false" ht="15" hidden="false" customHeight="false" outlineLevel="0" collapsed="false">
      <c r="A7" s="0" t="s">
        <v>37</v>
      </c>
      <c r="B7" s="7" t="n">
        <f aca="false">B6*Assumptions!$B$8*Assumptions!$B$9</f>
        <v>352000</v>
      </c>
    </row>
    <row r="8" customFormat="false" ht="15" hidden="false" customHeight="false" outlineLevel="0" collapsed="false">
      <c r="A8" s="0" t="s">
        <v>38</v>
      </c>
      <c r="B8" s="7" t="n">
        <f aca="false">B7/1000*Assumptions!$B$10*Assumptions!$B$5</f>
        <v>33264</v>
      </c>
    </row>
    <row r="9" customFormat="false" ht="15" hidden="false" customHeight="false" outlineLevel="0" collapsed="false">
      <c r="A9" s="0" t="s">
        <v>39</v>
      </c>
      <c r="B9" s="7" t="n">
        <f aca="false">B8*0.15</f>
        <v>4989.6</v>
      </c>
    </row>
    <row r="10" customFormat="false" ht="15" hidden="false" customHeight="false" outlineLevel="0" collapsed="false">
      <c r="A10" s="0" t="s">
        <v>40</v>
      </c>
      <c r="B10" s="7" t="n">
        <f aca="false">B9*Assumptions!$B$11</f>
        <v>2494.8</v>
      </c>
    </row>
    <row r="11" customFormat="false" ht="15" hidden="false" customHeight="false" outlineLevel="0" collapsed="false">
      <c r="A11" s="0" t="s">
        <v>41</v>
      </c>
      <c r="B11" s="7" t="n">
        <f aca="false">IF(B6=0,0,B10/B6)</f>
        <v>12.474</v>
      </c>
    </row>
    <row r="13" customFormat="false" ht="15" hidden="false" customHeight="false" outlineLevel="0" collapsed="false">
      <c r="A13" s="8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2"/>
  </cols>
  <sheetData>
    <row r="1" customFormat="false" ht="16.15" hidden="false" customHeight="false" outlineLevel="0" collapsed="false">
      <c r="A1" s="5" t="s">
        <v>43</v>
      </c>
    </row>
    <row r="4" customFormat="false" ht="15" hidden="false" customHeight="false" outlineLevel="0" collapsed="false">
      <c r="A4" s="3" t="s">
        <v>34</v>
      </c>
      <c r="B4" s="3" t="s">
        <v>44</v>
      </c>
      <c r="C4" s="3" t="s">
        <v>45</v>
      </c>
      <c r="D4" s="3" t="s">
        <v>46</v>
      </c>
      <c r="E4" s="3" t="s">
        <v>47</v>
      </c>
    </row>
    <row r="5" customFormat="false" ht="15" hidden="false" customHeight="false" outlineLevel="0" collapsed="false">
      <c r="A5" s="9" t="s">
        <v>48</v>
      </c>
      <c r="B5" s="4" t="n">
        <v>100</v>
      </c>
      <c r="C5" s="4" t="n">
        <v>250</v>
      </c>
      <c r="D5" s="4" t="n">
        <v>400</v>
      </c>
      <c r="E5" s="4" t="n">
        <v>500</v>
      </c>
    </row>
    <row r="6" customFormat="false" ht="15" hidden="false" customHeight="false" outlineLevel="0" collapsed="false">
      <c r="A6" s="9" t="s">
        <v>49</v>
      </c>
      <c r="B6" s="7" t="n">
        <f aca="false">B5*Assumptions!$B$7</f>
        <v>40</v>
      </c>
      <c r="C6" s="7" t="n">
        <f aca="false">C5*Assumptions!$B$7</f>
        <v>100</v>
      </c>
      <c r="D6" s="7" t="n">
        <f aca="false">D5*Assumptions!$B$7</f>
        <v>160</v>
      </c>
      <c r="E6" s="7" t="n">
        <f aca="false">E5*Assumptions!$B$7</f>
        <v>200</v>
      </c>
    </row>
    <row r="7" customFormat="false" ht="15" hidden="false" customHeight="false" outlineLevel="0" collapsed="false">
      <c r="A7" s="9" t="s">
        <v>50</v>
      </c>
      <c r="B7" s="4" t="n">
        <v>1</v>
      </c>
      <c r="C7" s="4" t="n">
        <v>2</v>
      </c>
      <c r="D7" s="4" t="n">
        <v>2</v>
      </c>
      <c r="E7" s="4" t="n">
        <v>3</v>
      </c>
    </row>
    <row r="8" customFormat="false" ht="15" hidden="false" customHeight="false" outlineLevel="0" collapsed="false">
      <c r="A8" s="9" t="s">
        <v>51</v>
      </c>
      <c r="B8" s="7" t="n">
        <f aca="false">B7*Assumptions!$B$12</f>
        <v>15000</v>
      </c>
      <c r="C8" s="7" t="n">
        <f aca="false">C7*Assumptions!$B$12</f>
        <v>30000</v>
      </c>
      <c r="D8" s="7" t="n">
        <f aca="false">D7*Assumptions!$B$12</f>
        <v>30000</v>
      </c>
      <c r="E8" s="7" t="n">
        <f aca="false">E7*Assumptions!$B$12</f>
        <v>45000</v>
      </c>
    </row>
    <row r="9" customFormat="false" ht="15" hidden="false" customHeight="false" outlineLevel="0" collapsed="false">
      <c r="A9" s="9" t="s">
        <v>52</v>
      </c>
      <c r="B9" s="7" t="n">
        <f aca="false">B8*Assumptions!$B$11</f>
        <v>7500</v>
      </c>
      <c r="C9" s="7" t="n">
        <f aca="false">C8*Assumptions!$B$11</f>
        <v>15000</v>
      </c>
      <c r="D9" s="7" t="n">
        <f aca="false">D8*Assumptions!$B$11</f>
        <v>15000</v>
      </c>
      <c r="E9" s="7" t="n">
        <f aca="false">E8*Assumptions!$B$11</f>
        <v>22500</v>
      </c>
    </row>
    <row r="10" customFormat="false" ht="15" hidden="false" customHeight="false" outlineLevel="0" collapsed="false">
      <c r="A10" s="9" t="s">
        <v>53</v>
      </c>
      <c r="B10" s="7" t="n">
        <f aca="false">B8*(1-Assumptions!$B$11)</f>
        <v>7500</v>
      </c>
      <c r="C10" s="7" t="n">
        <f aca="false">C8*(1-Assumptions!$B$11)</f>
        <v>15000</v>
      </c>
      <c r="D10" s="7" t="n">
        <f aca="false">D8*(1-Assumptions!$B$11)</f>
        <v>15000</v>
      </c>
      <c r="E10" s="7" t="n">
        <f aca="false">E8*(1-Assumptions!$B$11)</f>
        <v>22500</v>
      </c>
    </row>
    <row r="11" customFormat="false" ht="15" hidden="false" customHeight="false" outlineLevel="0" collapsed="false">
      <c r="A11" s="9" t="s">
        <v>54</v>
      </c>
      <c r="B11" s="7" t="n">
        <f aca="false">IF(B9=0,0,B9/Assumptions!$B$14*Assumptions!$B$13)</f>
        <v>60</v>
      </c>
      <c r="C11" s="7" t="n">
        <f aca="false">IF(C9=0,0,C9/Assumptions!$B$14*Assumptions!$B$13)</f>
        <v>120</v>
      </c>
      <c r="D11" s="7" t="n">
        <f aca="false">IF(D9=0,0,D9/Assumptions!$B$14*Assumptions!$B$13)</f>
        <v>120</v>
      </c>
      <c r="E11" s="7" t="n">
        <f aca="false">IF(E9=0,0,E9/Assumptions!$B$14*Assumptions!$B$13)</f>
        <v>180</v>
      </c>
    </row>
    <row r="12" customFormat="false" ht="15" hidden="false" customHeight="false" outlineLevel="0" collapsed="false">
      <c r="A12" s="9" t="s">
        <v>55</v>
      </c>
      <c r="B12" s="7" t="n">
        <f aca="false">Assumptions!$B$15</f>
        <v>3000</v>
      </c>
      <c r="C12" s="7" t="n">
        <f aca="false">Assumptions!$B$15</f>
        <v>3000</v>
      </c>
      <c r="D12" s="7" t="n">
        <f aca="false">Assumptions!$B$15</f>
        <v>3000</v>
      </c>
      <c r="E12" s="7" t="n">
        <f aca="false">Assumptions!$B$15</f>
        <v>3000</v>
      </c>
    </row>
    <row r="13" customFormat="false" ht="15" hidden="false" customHeight="false" outlineLevel="0" collapsed="false">
      <c r="A13" s="9" t="s">
        <v>56</v>
      </c>
      <c r="B13" s="7" t="n">
        <f aca="false">Assumptions!$B$16</f>
        <v>2000</v>
      </c>
      <c r="C13" s="7" t="n">
        <f aca="false">Assumptions!$B$16</f>
        <v>2000</v>
      </c>
      <c r="D13" s="7" t="n">
        <f aca="false">Assumptions!$B$16</f>
        <v>2000</v>
      </c>
      <c r="E13" s="7" t="n">
        <f aca="false">Assumptions!$B$16</f>
        <v>2000</v>
      </c>
    </row>
    <row r="14" customFormat="false" ht="15" hidden="false" customHeight="false" outlineLevel="0" collapsed="false">
      <c r="A14" s="9" t="s">
        <v>57</v>
      </c>
      <c r="B14" s="7" t="n">
        <f aca="false">Assumptions!$B$17</f>
        <v>0</v>
      </c>
      <c r="C14" s="7" t="n">
        <f aca="false">Assumptions!$B$17</f>
        <v>0</v>
      </c>
      <c r="D14" s="7" t="n">
        <f aca="false">Assumptions!$B$17</f>
        <v>0</v>
      </c>
      <c r="E14" s="7" t="n">
        <f aca="false">Assumptions!$B$17</f>
        <v>0</v>
      </c>
    </row>
    <row r="15" customFormat="false" ht="15" hidden="false" customHeight="false" outlineLevel="0" collapsed="false">
      <c r="A15" s="9" t="s">
        <v>58</v>
      </c>
      <c r="B15" s="7" t="n">
        <f aca="false">B11+B12+B13+B14</f>
        <v>5060</v>
      </c>
      <c r="C15" s="7" t="n">
        <f aca="false">C11+C12+C13+C14</f>
        <v>5120</v>
      </c>
      <c r="D15" s="7" t="n">
        <f aca="false">D11+D12+D13+D14</f>
        <v>5120</v>
      </c>
      <c r="E15" s="7" t="n">
        <f aca="false">E11+E12+E13+E14</f>
        <v>5180</v>
      </c>
    </row>
    <row r="16" customFormat="false" ht="15" hidden="false" customHeight="false" outlineLevel="0" collapsed="false">
      <c r="A16" s="9" t="s">
        <v>59</v>
      </c>
      <c r="B16" s="7" t="n">
        <f aca="false">B10-B11-B12-B13-B14</f>
        <v>2440</v>
      </c>
      <c r="C16" s="7" t="n">
        <f aca="false">C10-C11-C12-C13-C14</f>
        <v>9880</v>
      </c>
      <c r="D16" s="7" t="n">
        <f aca="false">D10-D11-D12-D13-D14</f>
        <v>9880</v>
      </c>
      <c r="E16" s="7" t="n">
        <f aca="false">E10-E11-E12-E13-E14</f>
        <v>17320</v>
      </c>
    </row>
    <row r="17" customFormat="false" ht="15" hidden="false" customHeight="false" outlineLevel="0" collapsed="false">
      <c r="A17" s="9" t="s">
        <v>60</v>
      </c>
      <c r="B17" s="7" t="n">
        <f aca="false">B16</f>
        <v>2440</v>
      </c>
      <c r="C17" s="7" t="n">
        <f aca="false">B17+C16</f>
        <v>12320</v>
      </c>
      <c r="D17" s="7" t="n">
        <f aca="false">C17+D16</f>
        <v>22200</v>
      </c>
      <c r="E17" s="7" t="n">
        <f aca="false">D17+E16</f>
        <v>39520</v>
      </c>
    </row>
    <row r="18" customFormat="false" ht="15" hidden="false" customHeight="false" outlineLevel="0" collapsed="false">
      <c r="A18" s="9" t="s">
        <v>61</v>
      </c>
      <c r="B18" s="7" t="n">
        <f aca="false">Assumptions!$B$18+B16</f>
        <v>102440</v>
      </c>
      <c r="C18" s="7" t="n">
        <f aca="false">B18+C16</f>
        <v>112320</v>
      </c>
      <c r="D18" s="7" t="n">
        <f aca="false">C18+D16</f>
        <v>122200</v>
      </c>
      <c r="E18" s="7" t="n">
        <f aca="false">D18+E16</f>
        <v>139520</v>
      </c>
    </row>
    <row r="19" customFormat="false" ht="15" hidden="false" customHeight="false" outlineLevel="0" collapsed="false">
      <c r="A19" s="9" t="s">
        <v>62</v>
      </c>
      <c r="B19" s="7" t="n">
        <f aca="false">IF(B6=0,0,B9/B6)</f>
        <v>187.5</v>
      </c>
      <c r="C19" s="7" t="n">
        <f aca="false">IF(C6=0,0,C9/C6)</f>
        <v>150</v>
      </c>
      <c r="D19" s="7" t="n">
        <f aca="false">IF(D6=0,0,D9/D6)</f>
        <v>93.75</v>
      </c>
      <c r="E19" s="7" t="n">
        <f aca="false">IF(E6=0,0,E9/E6)</f>
        <v>112.5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30"/>
  </cols>
  <sheetData>
    <row r="1" customFormat="false" ht="16.15" hidden="false" customHeight="false" outlineLevel="0" collapsed="false">
      <c r="A1" s="5" t="s">
        <v>63</v>
      </c>
    </row>
    <row r="3" customFormat="false" ht="15" hidden="false" customHeight="false" outlineLevel="0" collapsed="false">
      <c r="A3" s="3" t="s">
        <v>64</v>
      </c>
      <c r="B3" s="3" t="s">
        <v>65</v>
      </c>
      <c r="C3" s="3" t="s">
        <v>66</v>
      </c>
    </row>
    <row r="4" customFormat="false" ht="15" hidden="false" customHeight="false" outlineLevel="0" collapsed="false">
      <c r="A4" s="0" t="s">
        <v>67</v>
      </c>
      <c r="B4" s="10" t="n">
        <v>1000</v>
      </c>
      <c r="C4" s="0" t="s">
        <v>68</v>
      </c>
    </row>
    <row r="5" customFormat="false" ht="15" hidden="false" customHeight="false" outlineLevel="0" collapsed="false">
      <c r="A5" s="0" t="s">
        <v>69</v>
      </c>
      <c r="B5" s="10" t="n">
        <v>0</v>
      </c>
      <c r="C5" s="0" t="s">
        <v>70</v>
      </c>
    </row>
    <row r="6" customFormat="false" ht="15" hidden="false" customHeight="false" outlineLevel="0" collapsed="false">
      <c r="A6" s="0" t="s">
        <v>71</v>
      </c>
      <c r="B6" s="10" t="n">
        <v>1000</v>
      </c>
      <c r="C6" s="0" t="s">
        <v>72</v>
      </c>
    </row>
    <row r="7" customFormat="false" ht="15" hidden="false" customHeight="false" outlineLevel="0" collapsed="false">
      <c r="A7" s="0" t="s">
        <v>73</v>
      </c>
      <c r="B7" s="10" t="n">
        <v>0</v>
      </c>
      <c r="C7" s="0" t="s">
        <v>74</v>
      </c>
    </row>
    <row r="8" customFormat="false" ht="15" hidden="false" customHeight="false" outlineLevel="0" collapsed="false">
      <c r="A8" s="0" t="s">
        <v>75</v>
      </c>
      <c r="B8" s="10" t="n">
        <v>0</v>
      </c>
      <c r="C8" s="0" t="s">
        <v>76</v>
      </c>
    </row>
    <row r="9" customFormat="false" ht="15" hidden="false" customHeight="false" outlineLevel="0" collapsed="false">
      <c r="A9" s="0" t="s">
        <v>77</v>
      </c>
      <c r="B9" s="10" t="n">
        <v>3000</v>
      </c>
      <c r="C9" s="0" t="s">
        <v>78</v>
      </c>
    </row>
    <row r="10" customFormat="false" ht="15" hidden="false" customHeight="false" outlineLevel="0" collapsed="false">
      <c r="A10" s="9" t="s">
        <v>79</v>
      </c>
      <c r="B10" s="11" t="n">
        <f aca="false">SUM(B4:B9)</f>
        <v>5000</v>
      </c>
    </row>
    <row r="11" customFormat="false" ht="15" hidden="false" customHeight="false" outlineLevel="0" collapsed="false">
      <c r="A11" s="9" t="s">
        <v>80</v>
      </c>
      <c r="B11" s="11" t="n">
        <f aca="false">Assumptions!$B$18-B10</f>
        <v>95000</v>
      </c>
    </row>
    <row r="13" customFormat="false" ht="15" hidden="false" customHeight="false" outlineLevel="0" collapsed="false">
      <c r="A13" s="12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70"/>
  </cols>
  <sheetData>
    <row r="1" customFormat="false" ht="16.15" hidden="false" customHeight="false" outlineLevel="0" collapsed="false">
      <c r="A1" s="5" t="s">
        <v>82</v>
      </c>
    </row>
    <row r="3" customFormat="false" ht="15" hidden="false" customHeight="false" outlineLevel="0" collapsed="false">
      <c r="A3" s="3" t="s">
        <v>64</v>
      </c>
      <c r="B3" s="3" t="s">
        <v>83</v>
      </c>
      <c r="C3" s="3" t="s">
        <v>84</v>
      </c>
    </row>
    <row r="4" customFormat="false" ht="15" hidden="false" customHeight="false" outlineLevel="0" collapsed="false">
      <c r="A4" s="9" t="s">
        <v>85</v>
      </c>
      <c r="B4" s="13" t="s">
        <v>86</v>
      </c>
      <c r="C4" s="13" t="s">
        <v>87</v>
      </c>
    </row>
    <row r="5" customFormat="false" ht="15" hidden="false" customHeight="false" outlineLevel="0" collapsed="false">
      <c r="A5" s="9" t="s">
        <v>88</v>
      </c>
      <c r="B5" s="13" t="s">
        <v>89</v>
      </c>
      <c r="C5" s="13" t="s">
        <v>90</v>
      </c>
    </row>
    <row r="6" customFormat="false" ht="15" hidden="false" customHeight="false" outlineLevel="0" collapsed="false">
      <c r="A6" s="9" t="s">
        <v>91</v>
      </c>
      <c r="B6" s="13" t="s">
        <v>92</v>
      </c>
      <c r="C6" s="13" t="s">
        <v>93</v>
      </c>
    </row>
    <row r="7" customFormat="false" ht="15" hidden="false" customHeight="false" outlineLevel="0" collapsed="false">
      <c r="A7" s="9" t="s">
        <v>94</v>
      </c>
      <c r="B7" s="13" t="s">
        <v>95</v>
      </c>
      <c r="C7" s="13" t="s">
        <v>96</v>
      </c>
    </row>
    <row r="8" customFormat="false" ht="15" hidden="false" customHeight="false" outlineLevel="0" collapsed="false">
      <c r="A8" s="9" t="s">
        <v>97</v>
      </c>
      <c r="B8" s="13" t="s">
        <v>98</v>
      </c>
      <c r="C8" s="13" t="s">
        <v>99</v>
      </c>
    </row>
    <row r="9" customFormat="false" ht="15" hidden="false" customHeight="false" outlineLevel="0" collapsed="false">
      <c r="A9" s="9" t="s">
        <v>100</v>
      </c>
      <c r="B9" s="13" t="s">
        <v>101</v>
      </c>
      <c r="C9" s="13" t="s">
        <v>102</v>
      </c>
    </row>
    <row r="10" customFormat="false" ht="15" hidden="false" customHeight="false" outlineLevel="0" collapsed="false">
      <c r="A10" s="9" t="s">
        <v>103</v>
      </c>
      <c r="B10" s="13" t="s">
        <v>104</v>
      </c>
      <c r="C10" s="13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52"/>
  </cols>
  <sheetData>
    <row r="1" customFormat="false" ht="16.15" hidden="false" customHeight="false" outlineLevel="0" collapsed="false">
      <c r="A1" s="5" t="s">
        <v>106</v>
      </c>
    </row>
    <row r="3" customFormat="false" ht="15" hidden="false" customHeight="false" outlineLevel="0" collapsed="false">
      <c r="A3" s="3" t="s">
        <v>107</v>
      </c>
      <c r="B3" s="3" t="s">
        <v>3</v>
      </c>
      <c r="C3" s="3" t="s">
        <v>108</v>
      </c>
      <c r="D3" s="3" t="s">
        <v>109</v>
      </c>
    </row>
    <row r="4" customFormat="false" ht="15" hidden="false" customHeight="false" outlineLevel="0" collapsed="false">
      <c r="A4" s="13" t="s">
        <v>110</v>
      </c>
      <c r="B4" s="13" t="s">
        <v>111</v>
      </c>
      <c r="C4" s="13" t="s">
        <v>112</v>
      </c>
      <c r="D4" s="13" t="s">
        <v>113</v>
      </c>
    </row>
    <row r="5" customFormat="false" ht="15" hidden="false" customHeight="false" outlineLevel="0" collapsed="false">
      <c r="A5" s="13" t="s">
        <v>114</v>
      </c>
      <c r="B5" s="13" t="s">
        <v>115</v>
      </c>
      <c r="C5" s="13" t="s">
        <v>116</v>
      </c>
      <c r="D5" s="13" t="s">
        <v>117</v>
      </c>
    </row>
    <row r="6" customFormat="false" ht="15" hidden="false" customHeight="false" outlineLevel="0" collapsed="false">
      <c r="A6" s="13" t="s">
        <v>118</v>
      </c>
      <c r="B6" s="13" t="s">
        <v>119</v>
      </c>
      <c r="C6" s="13" t="s">
        <v>120</v>
      </c>
      <c r="D6" s="13" t="s">
        <v>121</v>
      </c>
    </row>
    <row r="7" customFormat="false" ht="15" hidden="false" customHeight="false" outlineLevel="0" collapsed="false">
      <c r="A7" s="13" t="s">
        <v>122</v>
      </c>
      <c r="B7" s="13" t="s">
        <v>123</v>
      </c>
      <c r="C7" s="13" t="s">
        <v>124</v>
      </c>
      <c r="D7" s="13" t="s">
        <v>125</v>
      </c>
    </row>
    <row r="8" customFormat="false" ht="15" hidden="false" customHeight="false" outlineLevel="0" collapsed="false">
      <c r="A8" s="13" t="s">
        <v>126</v>
      </c>
      <c r="B8" s="13" t="s">
        <v>127</v>
      </c>
      <c r="C8" s="13" t="s">
        <v>128</v>
      </c>
      <c r="D8" s="13" t="s">
        <v>129</v>
      </c>
    </row>
    <row r="9" customFormat="false" ht="15" hidden="false" customHeight="false" outlineLevel="0" collapsed="false">
      <c r="A9" s="13" t="s">
        <v>130</v>
      </c>
      <c r="B9" s="13" t="s">
        <v>131</v>
      </c>
      <c r="C9" s="13" t="s">
        <v>112</v>
      </c>
      <c r="D9" s="13" t="s">
        <v>132</v>
      </c>
    </row>
    <row r="10" customFormat="false" ht="15" hidden="false" customHeight="false" outlineLevel="0" collapsed="false">
      <c r="A10" s="13" t="s">
        <v>133</v>
      </c>
      <c r="B10" s="13" t="s">
        <v>134</v>
      </c>
      <c r="C10" s="13" t="s">
        <v>112</v>
      </c>
      <c r="D10" s="13" t="s">
        <v>135</v>
      </c>
    </row>
    <row r="11" customFormat="false" ht="15" hidden="false" customHeight="false" outlineLevel="0" collapsed="false">
      <c r="A11" s="13" t="s">
        <v>136</v>
      </c>
      <c r="B11" s="13" t="s">
        <v>137</v>
      </c>
      <c r="C11" s="13" t="s">
        <v>112</v>
      </c>
      <c r="D11" s="13" t="s">
        <v>138</v>
      </c>
    </row>
    <row r="12" customFormat="false" ht="15" hidden="false" customHeight="false" outlineLevel="0" collapsed="false">
      <c r="A12" s="13" t="s">
        <v>139</v>
      </c>
      <c r="B12" s="13" t="s">
        <v>140</v>
      </c>
      <c r="C12" s="13" t="s">
        <v>141</v>
      </c>
      <c r="D12" s="13" t="s">
        <v>142</v>
      </c>
    </row>
    <row r="13" customFormat="false" ht="15" hidden="false" customHeight="false" outlineLevel="0" collapsed="false">
      <c r="A13" s="13" t="s">
        <v>143</v>
      </c>
      <c r="B13" s="13" t="s">
        <v>144</v>
      </c>
      <c r="C13" s="13" t="s">
        <v>112</v>
      </c>
      <c r="D13" s="13" t="s">
        <v>145</v>
      </c>
    </row>
    <row r="14" customFormat="false" ht="15" hidden="false" customHeight="false" outlineLevel="0" collapsed="false">
      <c r="A14" s="13" t="s">
        <v>146</v>
      </c>
      <c r="B14" s="13" t="s">
        <v>147</v>
      </c>
      <c r="C14" s="13" t="s">
        <v>112</v>
      </c>
      <c r="D14" s="13" t="s">
        <v>148</v>
      </c>
    </row>
    <row r="15" customFormat="false" ht="15" hidden="false" customHeight="false" outlineLevel="0" collapsed="false">
      <c r="A15" s="13" t="s">
        <v>149</v>
      </c>
      <c r="B15" s="13" t="s">
        <v>150</v>
      </c>
      <c r="C15" s="13" t="s">
        <v>151</v>
      </c>
      <c r="D15" s="13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2026-06-26T17:12:59Z</dcterms:created>
  <dc:creator>openpyxl</dc:creator>
  <dc:description/>
  <dc:language>en-US</dc:language>
  <cp:lastModifiedBy/>
  <dcterms:modified xsi:type="dcterms:W3CDTF">2026-06-26T17:12:59Z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